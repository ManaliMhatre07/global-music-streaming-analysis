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pivotTables/pivotTable4.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1.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Ex3.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db472357f879cef9/Desktop/NIIT/Course 1/Final Submission/"/>
    </mc:Choice>
  </mc:AlternateContent>
  <xr:revisionPtr revIDLastSave="94" documentId="8_{0DFCC813-C745-453A-9B9A-D0B33B7BD883}" xr6:coauthVersionLast="47" xr6:coauthVersionMax="47" xr10:uidLastSave="{59FF3039-2EC1-431A-993A-C42229D5F539}"/>
  <bookViews>
    <workbookView xWindow="-108" yWindow="-108" windowWidth="23256" windowHeight="12456" firstSheet="3" activeTab="12" xr2:uid="{D4053119-44C7-48DF-8DEC-B13FEC72CEEE}"/>
  </bookViews>
  <sheets>
    <sheet name="CLEANED DATA" sheetId="1" r:id="rId1"/>
    <sheet name="TECHNICAL QUES 1" sheetId="24" r:id="rId2"/>
    <sheet name="TECHNICAL QUES 2" sheetId="25" r:id="rId3"/>
    <sheet name="Q.1" sheetId="5" r:id="rId4"/>
    <sheet name="Q.2" sheetId="6" r:id="rId5"/>
    <sheet name="Q.3" sheetId="10" r:id="rId6"/>
    <sheet name="Q.4" sheetId="11" r:id="rId7"/>
    <sheet name="HANDLE OUTLIERS" sheetId="18" r:id="rId8"/>
    <sheet name="KPI 1" sheetId="20" r:id="rId9"/>
    <sheet name="KPI 2" sheetId="21" r:id="rId10"/>
    <sheet name="KPI 3" sheetId="22" r:id="rId11"/>
    <sheet name="KPI 4" sheetId="23" r:id="rId12"/>
    <sheet name="DASHBOARD" sheetId="17" r:id="rId13"/>
  </sheets>
  <definedNames>
    <definedName name="_xlnm._FilterDatabase" localSheetId="0" hidden="1">'CLEANED DATA'!$A$1:$L$763</definedName>
    <definedName name="_xlnm._FilterDatabase" localSheetId="7" hidden="1">'HANDLE OUTLIERS'!$V$3:$Z$147</definedName>
    <definedName name="_xlchart.v1.0" hidden="1">'HANDLE OUTLIERS'!$G$3</definedName>
    <definedName name="_xlchart.v1.1" hidden="1">'HANDLE OUTLIERS'!$G$4:$G$147</definedName>
    <definedName name="_xlchart.v1.10" hidden="1">'HANDLE OUTLIERS'!$V$3</definedName>
    <definedName name="_xlchart.v1.11" hidden="1">'HANDLE OUTLIERS'!$V$4:$V$147</definedName>
    <definedName name="_xlchart.v1.12" hidden="1">'HANDLE OUTLIERS'!$W$3</definedName>
    <definedName name="_xlchart.v1.13" hidden="1">'HANDLE OUTLIERS'!$W$4:$W$147</definedName>
    <definedName name="_xlchart.v1.14" hidden="1">'HANDLE OUTLIERS'!$X$3</definedName>
    <definedName name="_xlchart.v1.15" hidden="1">'HANDLE OUTLIERS'!$X$4:$X$147</definedName>
    <definedName name="_xlchart.v1.16" hidden="1">'HANDLE OUTLIERS'!$Y$3</definedName>
    <definedName name="_xlchart.v1.17" hidden="1">'HANDLE OUTLIERS'!$Y$4:$Y$147</definedName>
    <definedName name="_xlchart.v1.18" hidden="1">'HANDLE OUTLIERS'!$Z$3</definedName>
    <definedName name="_xlchart.v1.19" hidden="1">'HANDLE OUTLIERS'!$Z$4:$Z$147</definedName>
    <definedName name="_xlchart.v1.2" hidden="1">'HANDLE OUTLIERS'!$H$3</definedName>
    <definedName name="_xlchart.v1.20" hidden="1">'HANDLE OUTLIERS'!$V$3</definedName>
    <definedName name="_xlchart.v1.21" hidden="1">'HANDLE OUTLIERS'!$V$4:$V$147</definedName>
    <definedName name="_xlchart.v1.22" hidden="1">'HANDLE OUTLIERS'!$W$3</definedName>
    <definedName name="_xlchart.v1.23" hidden="1">'HANDLE OUTLIERS'!$W$4:$W$147</definedName>
    <definedName name="_xlchart.v1.24" hidden="1">'HANDLE OUTLIERS'!$X$3</definedName>
    <definedName name="_xlchart.v1.25" hidden="1">'HANDLE OUTLIERS'!$X$4:$X$147</definedName>
    <definedName name="_xlchart.v1.26" hidden="1">'HANDLE OUTLIERS'!$Y$3</definedName>
    <definedName name="_xlchart.v1.27" hidden="1">'HANDLE OUTLIERS'!$Y$4:$Y$147</definedName>
    <definedName name="_xlchart.v1.28" hidden="1">'HANDLE OUTLIERS'!$Z$3</definedName>
    <definedName name="_xlchart.v1.29" hidden="1">'HANDLE OUTLIERS'!$Z$4:$Z$147</definedName>
    <definedName name="_xlchart.v1.3" hidden="1">'HANDLE OUTLIERS'!$H$4:$H$147</definedName>
    <definedName name="_xlchart.v1.4" hidden="1">'HANDLE OUTLIERS'!$I$3</definedName>
    <definedName name="_xlchart.v1.5" hidden="1">'HANDLE OUTLIERS'!$I$4:$I$147</definedName>
    <definedName name="_xlchart.v1.6" hidden="1">'HANDLE OUTLIERS'!$J$3</definedName>
    <definedName name="_xlchart.v1.7" hidden="1">'HANDLE OUTLIERS'!$J$4:$J$147</definedName>
    <definedName name="_xlchart.v1.8" hidden="1">'HANDLE OUTLIERS'!$K$3</definedName>
    <definedName name="_xlchart.v1.9" hidden="1">'HANDLE OUTLIERS'!$K$4:$K$147</definedName>
    <definedName name="Slicer_Most_Played_Artist">#N/A</definedName>
    <definedName name="Slicer_Repeat_Song_Rat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24" l="1"/>
  <c r="P13" i="18"/>
  <c r="U6" i="17"/>
  <c r="AE8" i="18"/>
  <c r="AF8" i="18"/>
  <c r="AG8" i="18"/>
  <c r="AH8" i="18"/>
  <c r="AD8" i="18"/>
  <c r="AH7" i="18"/>
  <c r="AG7" i="18"/>
  <c r="AF7" i="18"/>
  <c r="AE7" i="18"/>
  <c r="AD7" i="18"/>
  <c r="AE6" i="18"/>
  <c r="AF6" i="18"/>
  <c r="AG6" i="18"/>
  <c r="AH6" i="18"/>
  <c r="AD6" i="18"/>
  <c r="AH5" i="18"/>
  <c r="AH4" i="18"/>
  <c r="AG5" i="18"/>
  <c r="AG4" i="18"/>
  <c r="AF5" i="18"/>
  <c r="AF4" i="18"/>
  <c r="AE5" i="18"/>
  <c r="AE4" i="18"/>
  <c r="AD5" i="18"/>
  <c r="AD4" i="18"/>
  <c r="T11" i="18"/>
  <c r="T10" i="18"/>
  <c r="S11" i="18"/>
  <c r="S10" i="18"/>
  <c r="R11" i="18"/>
  <c r="R10" i="18"/>
  <c r="Q11" i="18"/>
  <c r="Q10" i="18"/>
  <c r="P11" i="18"/>
  <c r="P10" i="18"/>
  <c r="T6" i="18"/>
  <c r="T5" i="18"/>
  <c r="T4" i="18"/>
  <c r="S6" i="18"/>
  <c r="S5" i="18"/>
  <c r="S4" i="18"/>
  <c r="R6" i="18"/>
  <c r="R5" i="18"/>
  <c r="R4" i="18"/>
  <c r="Q6" i="18"/>
  <c r="Q5" i="18"/>
  <c r="Q4" i="18"/>
  <c r="P6" i="18"/>
  <c r="P5" i="18"/>
  <c r="P4" i="18"/>
  <c r="I3" i="10"/>
  <c r="J6" i="17"/>
  <c r="M6" i="17"/>
  <c r="G6" i="17"/>
  <c r="Q6" i="17"/>
  <c r="P12" i="18" l="1"/>
  <c r="Q12" i="18"/>
  <c r="Q13" i="18" s="1"/>
  <c r="R12" i="18"/>
  <c r="R13" i="18" s="1"/>
  <c r="S12" i="18"/>
  <c r="S14" i="18" s="1"/>
  <c r="T12" i="18"/>
  <c r="T14" i="18" s="1"/>
  <c r="R14" i="18" l="1"/>
  <c r="P14" i="18"/>
  <c r="Q14" i="18"/>
  <c r="S13" i="18"/>
  <c r="T13" i="18"/>
</calcChain>
</file>

<file path=xl/sharedStrings.xml><?xml version="1.0" encoding="utf-8"?>
<sst xmlns="http://schemas.openxmlformats.org/spreadsheetml/2006/main" count="5444" uniqueCount="844">
  <si>
    <t>User_ID</t>
  </si>
  <si>
    <t>Age</t>
  </si>
  <si>
    <t>Country</t>
  </si>
  <si>
    <t>Streaming Platform</t>
  </si>
  <si>
    <t>Top Genre</t>
  </si>
  <si>
    <t>Minutes Streamed Per Day</t>
  </si>
  <si>
    <t>Number of Songs Liked</t>
  </si>
  <si>
    <t>Most Played Artist</t>
  </si>
  <si>
    <t>Subscription Type</t>
  </si>
  <si>
    <t>Listening Time (Morning/Afternoon/Night)</t>
  </si>
  <si>
    <t>Discover Weekly Engagement (%)</t>
  </si>
  <si>
    <t>Repeat Song Rate (%)</t>
  </si>
  <si>
    <t>U1006</t>
  </si>
  <si>
    <t>Australia</t>
  </si>
  <si>
    <t>Tidal</t>
  </si>
  <si>
    <t>Billie Eilish</t>
  </si>
  <si>
    <t>Free</t>
  </si>
  <si>
    <t>Night</t>
  </si>
  <si>
    <t>U1010</t>
  </si>
  <si>
    <t>South Korea</t>
  </si>
  <si>
    <t>Deezer</t>
  </si>
  <si>
    <t>Reggae</t>
  </si>
  <si>
    <t>Taylor Swift</t>
  </si>
  <si>
    <t>Premium</t>
  </si>
  <si>
    <t>Afternoon</t>
  </si>
  <si>
    <t>U1039</t>
  </si>
  <si>
    <t>USA</t>
  </si>
  <si>
    <t>Apple Music</t>
  </si>
  <si>
    <t>U1045</t>
  </si>
  <si>
    <t>India</t>
  </si>
  <si>
    <t>YouTube</t>
  </si>
  <si>
    <t>Hip-Hop</t>
  </si>
  <si>
    <t>Ed Sheeran</t>
  </si>
  <si>
    <t>U1059</t>
  </si>
  <si>
    <t>UK</t>
  </si>
  <si>
    <t>Amazon Music</t>
  </si>
  <si>
    <t>Classical</t>
  </si>
  <si>
    <t>BTS</t>
  </si>
  <si>
    <t>Morning</t>
  </si>
  <si>
    <t>U1061</t>
  </si>
  <si>
    <t>Rock</t>
  </si>
  <si>
    <t>U1064</t>
  </si>
  <si>
    <t>U1072</t>
  </si>
  <si>
    <t>U1076</t>
  </si>
  <si>
    <t>U1078</t>
  </si>
  <si>
    <t>Pop</t>
  </si>
  <si>
    <t>U1087</t>
  </si>
  <si>
    <t>U1090</t>
  </si>
  <si>
    <t>Bad Bunny</t>
  </si>
  <si>
    <t>U1098</t>
  </si>
  <si>
    <t>Spotify</t>
  </si>
  <si>
    <t>U1099</t>
  </si>
  <si>
    <t>U1103</t>
  </si>
  <si>
    <t>U1104</t>
  </si>
  <si>
    <t>U1106</t>
  </si>
  <si>
    <t>U1112</t>
  </si>
  <si>
    <t>U1113</t>
  </si>
  <si>
    <t>U1124</t>
  </si>
  <si>
    <t>U1138</t>
  </si>
  <si>
    <t>U1141</t>
  </si>
  <si>
    <t>U1151</t>
  </si>
  <si>
    <t>U1154</t>
  </si>
  <si>
    <t>U1165</t>
  </si>
  <si>
    <t>U1169</t>
  </si>
  <si>
    <t>U1173</t>
  </si>
  <si>
    <t>U1176</t>
  </si>
  <si>
    <t>U1189</t>
  </si>
  <si>
    <t>U1195</t>
  </si>
  <si>
    <t>U1197</t>
  </si>
  <si>
    <t>U1204</t>
  </si>
  <si>
    <t>U1210</t>
  </si>
  <si>
    <t>U1216</t>
  </si>
  <si>
    <t>U1220</t>
  </si>
  <si>
    <t>U1221</t>
  </si>
  <si>
    <t>U1237</t>
  </si>
  <si>
    <t>U1259</t>
  </si>
  <si>
    <t>U1277</t>
  </si>
  <si>
    <t>U1284</t>
  </si>
  <si>
    <t>U1285</t>
  </si>
  <si>
    <t>U1287</t>
  </si>
  <si>
    <t>U1292</t>
  </si>
  <si>
    <t>U1293</t>
  </si>
  <si>
    <t>U1307</t>
  </si>
  <si>
    <t>U1308</t>
  </si>
  <si>
    <t>U1309</t>
  </si>
  <si>
    <t>U1312</t>
  </si>
  <si>
    <t>U1313</t>
  </si>
  <si>
    <t>U1316</t>
  </si>
  <si>
    <t>U1338</t>
  </si>
  <si>
    <t>U1346</t>
  </si>
  <si>
    <t>U1347</t>
  </si>
  <si>
    <t>U1351</t>
  </si>
  <si>
    <t>U1357</t>
  </si>
  <si>
    <t>U1359</t>
  </si>
  <si>
    <t>U1365</t>
  </si>
  <si>
    <t>U1384</t>
  </si>
  <si>
    <t>U1385</t>
  </si>
  <si>
    <t>U1393</t>
  </si>
  <si>
    <t>U1407</t>
  </si>
  <si>
    <t>U1413</t>
  </si>
  <si>
    <t>U1418</t>
  </si>
  <si>
    <t>U1423</t>
  </si>
  <si>
    <t>U1425</t>
  </si>
  <si>
    <t>U1428</t>
  </si>
  <si>
    <t>U1445</t>
  </si>
  <si>
    <t>U1446</t>
  </si>
  <si>
    <t>U1448</t>
  </si>
  <si>
    <t>U1449</t>
  </si>
  <si>
    <t>U1451</t>
  </si>
  <si>
    <t>U1452</t>
  </si>
  <si>
    <t>U1453</t>
  </si>
  <si>
    <t>U1455</t>
  </si>
  <si>
    <t>U1456</t>
  </si>
  <si>
    <t>U1458</t>
  </si>
  <si>
    <t>U1468</t>
  </si>
  <si>
    <t>U1469</t>
  </si>
  <si>
    <t>U1471</t>
  </si>
  <si>
    <t>U1483</t>
  </si>
  <si>
    <t>U1485</t>
  </si>
  <si>
    <t>U1489</t>
  </si>
  <si>
    <t>U1496</t>
  </si>
  <si>
    <t>U1505</t>
  </si>
  <si>
    <t>U1512</t>
  </si>
  <si>
    <t>U1513</t>
  </si>
  <si>
    <t>U1525</t>
  </si>
  <si>
    <t>U1530</t>
  </si>
  <si>
    <t>U1540</t>
  </si>
  <si>
    <t>U1562</t>
  </si>
  <si>
    <t>U1570</t>
  </si>
  <si>
    <t>U1589</t>
  </si>
  <si>
    <t>U1592</t>
  </si>
  <si>
    <t>U1595</t>
  </si>
  <si>
    <t>U1596</t>
  </si>
  <si>
    <t>U1599</t>
  </si>
  <si>
    <t>U1610</t>
  </si>
  <si>
    <t>U1626</t>
  </si>
  <si>
    <t>U1631</t>
  </si>
  <si>
    <t>U1640</t>
  </si>
  <si>
    <t>U1647</t>
  </si>
  <si>
    <t>U1652</t>
  </si>
  <si>
    <t>U1653</t>
  </si>
  <si>
    <t>U1654</t>
  </si>
  <si>
    <t>U1662</t>
  </si>
  <si>
    <t>U1666</t>
  </si>
  <si>
    <t>U1668</t>
  </si>
  <si>
    <t>U1690</t>
  </si>
  <si>
    <t>U1697</t>
  </si>
  <si>
    <t>U1707</t>
  </si>
  <si>
    <t>U1723</t>
  </si>
  <si>
    <t>U1726</t>
  </si>
  <si>
    <t>U1734</t>
  </si>
  <si>
    <t>U1740</t>
  </si>
  <si>
    <t>U1741</t>
  </si>
  <si>
    <t>U1746</t>
  </si>
  <si>
    <t>U1759</t>
  </si>
  <si>
    <t>U1783</t>
  </si>
  <si>
    <t>U1795</t>
  </si>
  <si>
    <t>U1797</t>
  </si>
  <si>
    <t>U1799</t>
  </si>
  <si>
    <t>U1803</t>
  </si>
  <si>
    <t>U1804</t>
  </si>
  <si>
    <t>U1817</t>
  </si>
  <si>
    <t>U1823</t>
  </si>
  <si>
    <t>U1848</t>
  </si>
  <si>
    <t>U1849</t>
  </si>
  <si>
    <t>U1873</t>
  </si>
  <si>
    <t>U1879</t>
  </si>
  <si>
    <t>U1883</t>
  </si>
  <si>
    <t>U1887</t>
  </si>
  <si>
    <t>U1911</t>
  </si>
  <si>
    <t>U1924</t>
  </si>
  <si>
    <t>U1925</t>
  </si>
  <si>
    <t>U1930</t>
  </si>
  <si>
    <t>U1931</t>
  </si>
  <si>
    <t>U1934</t>
  </si>
  <si>
    <t>U1943</t>
  </si>
  <si>
    <t>U1944</t>
  </si>
  <si>
    <t>U1945</t>
  </si>
  <si>
    <t>U1948</t>
  </si>
  <si>
    <t>U1949</t>
  </si>
  <si>
    <t>U1951</t>
  </si>
  <si>
    <t>U1954</t>
  </si>
  <si>
    <t>U1957</t>
  </si>
  <si>
    <t>U1966</t>
  </si>
  <si>
    <t>U1972</t>
  </si>
  <si>
    <t>U1974</t>
  </si>
  <si>
    <t>U1980</t>
  </si>
  <si>
    <t>U1981</t>
  </si>
  <si>
    <t>U1982</t>
  </si>
  <si>
    <t>U1988</t>
  </si>
  <si>
    <t>U1991</t>
  </si>
  <si>
    <t>U1997</t>
  </si>
  <si>
    <t>U2001</t>
  </si>
  <si>
    <t>U2003</t>
  </si>
  <si>
    <t>U2005</t>
  </si>
  <si>
    <t>U2008</t>
  </si>
  <si>
    <t>U2020</t>
  </si>
  <si>
    <t>U2026</t>
  </si>
  <si>
    <t>U2051</t>
  </si>
  <si>
    <t>U2053</t>
  </si>
  <si>
    <t>U2054</t>
  </si>
  <si>
    <t>U2056</t>
  </si>
  <si>
    <t>U2061</t>
  </si>
  <si>
    <t>U2065</t>
  </si>
  <si>
    <t>U2067</t>
  </si>
  <si>
    <t>U2084</t>
  </si>
  <si>
    <t>U2086</t>
  </si>
  <si>
    <t>U2101</t>
  </si>
  <si>
    <t>U2107</t>
  </si>
  <si>
    <t>U2117</t>
  </si>
  <si>
    <t>U2119</t>
  </si>
  <si>
    <t>U2120</t>
  </si>
  <si>
    <t>U2134</t>
  </si>
  <si>
    <t>U2135</t>
  </si>
  <si>
    <t>U2142</t>
  </si>
  <si>
    <t>U2145</t>
  </si>
  <si>
    <t>U2155</t>
  </si>
  <si>
    <t>U2161</t>
  </si>
  <si>
    <t>U2176</t>
  </si>
  <si>
    <t>U2177</t>
  </si>
  <si>
    <t>U2190</t>
  </si>
  <si>
    <t>U2192</t>
  </si>
  <si>
    <t>U2201</t>
  </si>
  <si>
    <t>U2204</t>
  </si>
  <si>
    <t>U2218</t>
  </si>
  <si>
    <t>U2220</t>
  </si>
  <si>
    <t>U2223</t>
  </si>
  <si>
    <t>U2226</t>
  </si>
  <si>
    <t>U2236</t>
  </si>
  <si>
    <t>U2243</t>
  </si>
  <si>
    <t>U2254</t>
  </si>
  <si>
    <t>U2255</t>
  </si>
  <si>
    <t>U2272</t>
  </si>
  <si>
    <t>U2273</t>
  </si>
  <si>
    <t>U2290</t>
  </si>
  <si>
    <t>U2295</t>
  </si>
  <si>
    <t>U2296</t>
  </si>
  <si>
    <t>U2301</t>
  </si>
  <si>
    <t>U2303</t>
  </si>
  <si>
    <t>U2311</t>
  </si>
  <si>
    <t>U2320</t>
  </si>
  <si>
    <t>U2322</t>
  </si>
  <si>
    <t>U2323</t>
  </si>
  <si>
    <t>U2324</t>
  </si>
  <si>
    <t>U2326</t>
  </si>
  <si>
    <t>U2333</t>
  </si>
  <si>
    <t>U2349</t>
  </si>
  <si>
    <t>U2350</t>
  </si>
  <si>
    <t>U2358</t>
  </si>
  <si>
    <t>U2359</t>
  </si>
  <si>
    <t>U2363</t>
  </si>
  <si>
    <t>U2364</t>
  </si>
  <si>
    <t>U2366</t>
  </si>
  <si>
    <t>U2372</t>
  </si>
  <si>
    <t>U2376</t>
  </si>
  <si>
    <t>U2377</t>
  </si>
  <si>
    <t>U2378</t>
  </si>
  <si>
    <t>U2390</t>
  </si>
  <si>
    <t>U2392</t>
  </si>
  <si>
    <t>U2407</t>
  </si>
  <si>
    <t>U2408</t>
  </si>
  <si>
    <t>U2415</t>
  </si>
  <si>
    <t>U2416</t>
  </si>
  <si>
    <t>U2438</t>
  </si>
  <si>
    <t>U2447</t>
  </si>
  <si>
    <t>U2453</t>
  </si>
  <si>
    <t>U2481</t>
  </si>
  <si>
    <t>U2488</t>
  </si>
  <si>
    <t>U2490</t>
  </si>
  <si>
    <t>U2501</t>
  </si>
  <si>
    <t>U2506</t>
  </si>
  <si>
    <t>U2513</t>
  </si>
  <si>
    <t>U2515</t>
  </si>
  <si>
    <t>U2517</t>
  </si>
  <si>
    <t>U2527</t>
  </si>
  <si>
    <t>U2530</t>
  </si>
  <si>
    <t>U2532</t>
  </si>
  <si>
    <t>U2547</t>
  </si>
  <si>
    <t>U2552</t>
  </si>
  <si>
    <t>U2553</t>
  </si>
  <si>
    <t>U2566</t>
  </si>
  <si>
    <t>U2583</t>
  </si>
  <si>
    <t>U2586</t>
  </si>
  <si>
    <t>U2588</t>
  </si>
  <si>
    <t>U2593</t>
  </si>
  <si>
    <t>U2621</t>
  </si>
  <si>
    <t>U2629</t>
  </si>
  <si>
    <t>U2649</t>
  </si>
  <si>
    <t>U2654</t>
  </si>
  <si>
    <t>U2659</t>
  </si>
  <si>
    <t>U2661</t>
  </si>
  <si>
    <t>U2664</t>
  </si>
  <si>
    <t>U2669</t>
  </si>
  <si>
    <t>U2674</t>
  </si>
  <si>
    <t>U2678</t>
  </si>
  <si>
    <t>U2687</t>
  </si>
  <si>
    <t>U2689</t>
  </si>
  <si>
    <t>U2707</t>
  </si>
  <si>
    <t>U2731</t>
  </si>
  <si>
    <t>U2740</t>
  </si>
  <si>
    <t>U2744</t>
  </si>
  <si>
    <t>U2755</t>
  </si>
  <si>
    <t>U2756</t>
  </si>
  <si>
    <t>U2760</t>
  </si>
  <si>
    <t>U2771</t>
  </si>
  <si>
    <t>U2772</t>
  </si>
  <si>
    <t>U2773</t>
  </si>
  <si>
    <t>U2777</t>
  </si>
  <si>
    <t>U2783</t>
  </si>
  <si>
    <t>U2790</t>
  </si>
  <si>
    <t>U2791</t>
  </si>
  <si>
    <t>U2792</t>
  </si>
  <si>
    <t>U2809</t>
  </si>
  <si>
    <t>U2820</t>
  </si>
  <si>
    <t>U2821</t>
  </si>
  <si>
    <t>U2827</t>
  </si>
  <si>
    <t>U2829</t>
  </si>
  <si>
    <t>U2837</t>
  </si>
  <si>
    <t>U2838</t>
  </si>
  <si>
    <t>U2839</t>
  </si>
  <si>
    <t>U2840</t>
  </si>
  <si>
    <t>U2851</t>
  </si>
  <si>
    <t>U2859</t>
  </si>
  <si>
    <t>U2869</t>
  </si>
  <si>
    <t>U2870</t>
  </si>
  <si>
    <t>U2876</t>
  </si>
  <si>
    <t>U2878</t>
  </si>
  <si>
    <t>U2880</t>
  </si>
  <si>
    <t>U2881</t>
  </si>
  <si>
    <t>U2883</t>
  </si>
  <si>
    <t>U2896</t>
  </si>
  <si>
    <t>U2900</t>
  </si>
  <si>
    <t>U2901</t>
  </si>
  <si>
    <t>U2903</t>
  </si>
  <si>
    <t>U2906</t>
  </si>
  <si>
    <t>U2907</t>
  </si>
  <si>
    <t>U2924</t>
  </si>
  <si>
    <t>U2925</t>
  </si>
  <si>
    <t>U2932</t>
  </si>
  <si>
    <t>U2937</t>
  </si>
  <si>
    <t>U2951</t>
  </si>
  <si>
    <t>U2952</t>
  </si>
  <si>
    <t>U2962</t>
  </si>
  <si>
    <t>U2972</t>
  </si>
  <si>
    <t>U2974</t>
  </si>
  <si>
    <t>U2982</t>
  </si>
  <si>
    <t>U2990</t>
  </si>
  <si>
    <t>U3008</t>
  </si>
  <si>
    <t>U3016</t>
  </si>
  <si>
    <t>U3018</t>
  </si>
  <si>
    <t>U3020</t>
  </si>
  <si>
    <t>U3023</t>
  </si>
  <si>
    <t>U3026</t>
  </si>
  <si>
    <t>U3044</t>
  </si>
  <si>
    <t>U3050</t>
  </si>
  <si>
    <t>U3052</t>
  </si>
  <si>
    <t>U3057</t>
  </si>
  <si>
    <t>U3059</t>
  </si>
  <si>
    <t>U3062</t>
  </si>
  <si>
    <t>U3065</t>
  </si>
  <si>
    <t>U3088</t>
  </si>
  <si>
    <t>U3090</t>
  </si>
  <si>
    <t>U3100</t>
  </si>
  <si>
    <t>U3108</t>
  </si>
  <si>
    <t>U3125</t>
  </si>
  <si>
    <t>U3129</t>
  </si>
  <si>
    <t>U3136</t>
  </si>
  <si>
    <t>U3140</t>
  </si>
  <si>
    <t>U3142</t>
  </si>
  <si>
    <t>U3143</t>
  </si>
  <si>
    <t>U3147</t>
  </si>
  <si>
    <t>U3148</t>
  </si>
  <si>
    <t>U3151</t>
  </si>
  <si>
    <t>U3159</t>
  </si>
  <si>
    <t>U3161</t>
  </si>
  <si>
    <t>U3183</t>
  </si>
  <si>
    <t>U3199</t>
  </si>
  <si>
    <t>U3208</t>
  </si>
  <si>
    <t>U3224</t>
  </si>
  <si>
    <t>U3229</t>
  </si>
  <si>
    <t>U3233</t>
  </si>
  <si>
    <t>U3252</t>
  </si>
  <si>
    <t>U3260</t>
  </si>
  <si>
    <t>U3294</t>
  </si>
  <si>
    <t>U3295</t>
  </si>
  <si>
    <t>U3298</t>
  </si>
  <si>
    <t>U3303</t>
  </si>
  <si>
    <t>U3315</t>
  </si>
  <si>
    <t>U3322</t>
  </si>
  <si>
    <t>U3343</t>
  </si>
  <si>
    <t>U3344</t>
  </si>
  <si>
    <t>U3350</t>
  </si>
  <si>
    <t>U3352</t>
  </si>
  <si>
    <t>U3356</t>
  </si>
  <si>
    <t>U3390</t>
  </si>
  <si>
    <t>U3401</t>
  </si>
  <si>
    <t>U3404</t>
  </si>
  <si>
    <t>U3415</t>
  </si>
  <si>
    <t>U3422</t>
  </si>
  <si>
    <t>U3427</t>
  </si>
  <si>
    <t>U3431</t>
  </si>
  <si>
    <t>U3433</t>
  </si>
  <si>
    <t>U3435</t>
  </si>
  <si>
    <t>U3444</t>
  </si>
  <si>
    <t>U3449</t>
  </si>
  <si>
    <t>U3452</t>
  </si>
  <si>
    <t>U3459</t>
  </si>
  <si>
    <t>U3461</t>
  </si>
  <si>
    <t>U3468</t>
  </si>
  <si>
    <t>U3476</t>
  </si>
  <si>
    <t>U3484</t>
  </si>
  <si>
    <t>U3485</t>
  </si>
  <si>
    <t>U3488</t>
  </si>
  <si>
    <t>U3491</t>
  </si>
  <si>
    <t>U3494</t>
  </si>
  <si>
    <t>U3514</t>
  </si>
  <si>
    <t>U3521</t>
  </si>
  <si>
    <t>U3525</t>
  </si>
  <si>
    <t>U3526</t>
  </si>
  <si>
    <t>U3527</t>
  </si>
  <si>
    <t>U3531</t>
  </si>
  <si>
    <t>U3534</t>
  </si>
  <si>
    <t>U3536</t>
  </si>
  <si>
    <t>U3540</t>
  </si>
  <si>
    <t>U3541</t>
  </si>
  <si>
    <t>U3545</t>
  </si>
  <si>
    <t>U3558</t>
  </si>
  <si>
    <t>U3563</t>
  </si>
  <si>
    <t>U3566</t>
  </si>
  <si>
    <t>U3569</t>
  </si>
  <si>
    <t>U3578</t>
  </si>
  <si>
    <t>U3581</t>
  </si>
  <si>
    <t>U3590</t>
  </si>
  <si>
    <t>U3614</t>
  </si>
  <si>
    <t>U3615</t>
  </si>
  <si>
    <t>U3628</t>
  </si>
  <si>
    <t>U3629</t>
  </si>
  <si>
    <t>U3638</t>
  </si>
  <si>
    <t>U3641</t>
  </si>
  <si>
    <t>U3650</t>
  </si>
  <si>
    <t>U3655</t>
  </si>
  <si>
    <t>U3658</t>
  </si>
  <si>
    <t>U3663</t>
  </si>
  <si>
    <t>U3669</t>
  </si>
  <si>
    <t>U3674</t>
  </si>
  <si>
    <t>U3676</t>
  </si>
  <si>
    <t>U3677</t>
  </si>
  <si>
    <t>U3689</t>
  </si>
  <si>
    <t>U3694</t>
  </si>
  <si>
    <t>U3697</t>
  </si>
  <si>
    <t>U3699</t>
  </si>
  <si>
    <t>U3703</t>
  </si>
  <si>
    <t>U3704</t>
  </si>
  <si>
    <t>U3723</t>
  </si>
  <si>
    <t>U3735</t>
  </si>
  <si>
    <t>U3743</t>
  </si>
  <si>
    <t>U3744</t>
  </si>
  <si>
    <t>U3746</t>
  </si>
  <si>
    <t>U3758</t>
  </si>
  <si>
    <t>U3761</t>
  </si>
  <si>
    <t>U3780</t>
  </si>
  <si>
    <t>U3787</t>
  </si>
  <si>
    <t>U3789</t>
  </si>
  <si>
    <t>U3798</t>
  </si>
  <si>
    <t>U3807</t>
  </si>
  <si>
    <t>U3816</t>
  </si>
  <si>
    <t>U3819</t>
  </si>
  <si>
    <t>U3823</t>
  </si>
  <si>
    <t>U3829</t>
  </si>
  <si>
    <t>U3831</t>
  </si>
  <si>
    <t>U3853</t>
  </si>
  <si>
    <t>U3862</t>
  </si>
  <si>
    <t>U3864</t>
  </si>
  <si>
    <t>U3865</t>
  </si>
  <si>
    <t>U3866</t>
  </si>
  <si>
    <t>U3870</t>
  </si>
  <si>
    <t>U3871</t>
  </si>
  <si>
    <t>U3874</t>
  </si>
  <si>
    <t>U3875</t>
  </si>
  <si>
    <t>U3876</t>
  </si>
  <si>
    <t>U3882</t>
  </si>
  <si>
    <t>U3885</t>
  </si>
  <si>
    <t>U3889</t>
  </si>
  <si>
    <t>U3890</t>
  </si>
  <si>
    <t>U3896</t>
  </si>
  <si>
    <t>U3904</t>
  </si>
  <si>
    <t>U3908</t>
  </si>
  <si>
    <t>U3910</t>
  </si>
  <si>
    <t>U3913</t>
  </si>
  <si>
    <t>U3915</t>
  </si>
  <si>
    <t>U3927</t>
  </si>
  <si>
    <t>U3930</t>
  </si>
  <si>
    <t>U3931</t>
  </si>
  <si>
    <t>U3934</t>
  </si>
  <si>
    <t>U3948</t>
  </si>
  <si>
    <t>U3964</t>
  </si>
  <si>
    <t>U3965</t>
  </si>
  <si>
    <t>U3976</t>
  </si>
  <si>
    <t>U3980</t>
  </si>
  <si>
    <t>U3981</t>
  </si>
  <si>
    <t>U4001</t>
  </si>
  <si>
    <t>U4008</t>
  </si>
  <si>
    <t>U4012</t>
  </si>
  <si>
    <t>U4014</t>
  </si>
  <si>
    <t>U4016</t>
  </si>
  <si>
    <t>U4035</t>
  </si>
  <si>
    <t>U4045</t>
  </si>
  <si>
    <t>U4062</t>
  </si>
  <si>
    <t>U4066</t>
  </si>
  <si>
    <t>U4072</t>
  </si>
  <si>
    <t>U4086</t>
  </si>
  <si>
    <t>U4088</t>
  </si>
  <si>
    <t>U4097</t>
  </si>
  <si>
    <t>U4111</t>
  </si>
  <si>
    <t>U4115</t>
  </si>
  <si>
    <t>U4119</t>
  </si>
  <si>
    <t>U4120</t>
  </si>
  <si>
    <t>U4131</t>
  </si>
  <si>
    <t>U4132</t>
  </si>
  <si>
    <t>U4136</t>
  </si>
  <si>
    <t>U4139</t>
  </si>
  <si>
    <t>U4140</t>
  </si>
  <si>
    <t>U4155</t>
  </si>
  <si>
    <t>U4156</t>
  </si>
  <si>
    <t>U4159</t>
  </si>
  <si>
    <t>U4160</t>
  </si>
  <si>
    <t>U4164</t>
  </si>
  <si>
    <t>U4169</t>
  </si>
  <si>
    <t>U4184</t>
  </si>
  <si>
    <t>U4185</t>
  </si>
  <si>
    <t>U4187</t>
  </si>
  <si>
    <t>U4188</t>
  </si>
  <si>
    <t>U4195</t>
  </si>
  <si>
    <t>U4198</t>
  </si>
  <si>
    <t>U4200</t>
  </si>
  <si>
    <t>U4203</t>
  </si>
  <si>
    <t>U4205</t>
  </si>
  <si>
    <t>U4210</t>
  </si>
  <si>
    <t>U4214</t>
  </si>
  <si>
    <t>U4223</t>
  </si>
  <si>
    <t>U4230</t>
  </si>
  <si>
    <t>U4246</t>
  </si>
  <si>
    <t>U4255</t>
  </si>
  <si>
    <t>U4259</t>
  </si>
  <si>
    <t>U4262</t>
  </si>
  <si>
    <t>U4264</t>
  </si>
  <si>
    <t>U4265</t>
  </si>
  <si>
    <t>U4270</t>
  </si>
  <si>
    <t>U4273</t>
  </si>
  <si>
    <t>U4283</t>
  </si>
  <si>
    <t>U4298</t>
  </si>
  <si>
    <t>U4299</t>
  </si>
  <si>
    <t>U4300</t>
  </si>
  <si>
    <t>U4304</t>
  </si>
  <si>
    <t>U4306</t>
  </si>
  <si>
    <t>U4313</t>
  </si>
  <si>
    <t>U4320</t>
  </si>
  <si>
    <t>U4333</t>
  </si>
  <si>
    <t>U4339</t>
  </si>
  <si>
    <t>U4342</t>
  </si>
  <si>
    <t>U4345</t>
  </si>
  <si>
    <t>U4347</t>
  </si>
  <si>
    <t>U4349</t>
  </si>
  <si>
    <t>U4363</t>
  </si>
  <si>
    <t>U4365</t>
  </si>
  <si>
    <t>U4367</t>
  </si>
  <si>
    <t>U4379</t>
  </si>
  <si>
    <t>U4380</t>
  </si>
  <si>
    <t>U4397</t>
  </si>
  <si>
    <t>U4399</t>
  </si>
  <si>
    <t>U4406</t>
  </si>
  <si>
    <t>U4412</t>
  </si>
  <si>
    <t>U4416</t>
  </si>
  <si>
    <t>U4420</t>
  </si>
  <si>
    <t>U4437</t>
  </si>
  <si>
    <t>U4445</t>
  </si>
  <si>
    <t>U4455</t>
  </si>
  <si>
    <t>U4463</t>
  </si>
  <si>
    <t>U4470</t>
  </si>
  <si>
    <t>U4480</t>
  </si>
  <si>
    <t>U4499</t>
  </si>
  <si>
    <t>U4507</t>
  </si>
  <si>
    <t>U4516</t>
  </si>
  <si>
    <t>U4534</t>
  </si>
  <si>
    <t>U4537</t>
  </si>
  <si>
    <t>U4543</t>
  </si>
  <si>
    <t>U4544</t>
  </si>
  <si>
    <t>U4557</t>
  </si>
  <si>
    <t>U4566</t>
  </si>
  <si>
    <t>U4568</t>
  </si>
  <si>
    <t>U4578</t>
  </si>
  <si>
    <t>U4580</t>
  </si>
  <si>
    <t>U4587</t>
  </si>
  <si>
    <t>U4588</t>
  </si>
  <si>
    <t>U4596</t>
  </si>
  <si>
    <t>U4600</t>
  </si>
  <si>
    <t>U4615</t>
  </si>
  <si>
    <t>U4624</t>
  </si>
  <si>
    <t>U4628</t>
  </si>
  <si>
    <t>U4629</t>
  </si>
  <si>
    <t>U4635</t>
  </si>
  <si>
    <t>U4637</t>
  </si>
  <si>
    <t>U4647</t>
  </si>
  <si>
    <t>U4650</t>
  </si>
  <si>
    <t>U4654</t>
  </si>
  <si>
    <t>U4671</t>
  </si>
  <si>
    <t>U4699</t>
  </si>
  <si>
    <t>U4706</t>
  </si>
  <si>
    <t>U4707</t>
  </si>
  <si>
    <t>U4718</t>
  </si>
  <si>
    <t>U4729</t>
  </si>
  <si>
    <t>U4738</t>
  </si>
  <si>
    <t>U4743</t>
  </si>
  <si>
    <t>U4746</t>
  </si>
  <si>
    <t>U4755</t>
  </si>
  <si>
    <t>U4759</t>
  </si>
  <si>
    <t>U4763</t>
  </si>
  <si>
    <t>U4769</t>
  </si>
  <si>
    <t>U4781</t>
  </si>
  <si>
    <t>U4783</t>
  </si>
  <si>
    <t>U4785</t>
  </si>
  <si>
    <t>U4792</t>
  </si>
  <si>
    <t>U4806</t>
  </si>
  <si>
    <t>U4813</t>
  </si>
  <si>
    <t>U4817</t>
  </si>
  <si>
    <t>U4830</t>
  </si>
  <si>
    <t>U4842</t>
  </si>
  <si>
    <t>U4847</t>
  </si>
  <si>
    <t>U4849</t>
  </si>
  <si>
    <t>U4860</t>
  </si>
  <si>
    <t>U4861</t>
  </si>
  <si>
    <t>U4868</t>
  </si>
  <si>
    <t>U4869</t>
  </si>
  <si>
    <t>U4873</t>
  </si>
  <si>
    <t>U4895</t>
  </si>
  <si>
    <t>U4896</t>
  </si>
  <si>
    <t>U4908</t>
  </si>
  <si>
    <t>U4913</t>
  </si>
  <si>
    <t>U4919</t>
  </si>
  <si>
    <t>U4933</t>
  </si>
  <si>
    <t>U4936</t>
  </si>
  <si>
    <t>U4939</t>
  </si>
  <si>
    <t>U4941</t>
  </si>
  <si>
    <t>U4942</t>
  </si>
  <si>
    <t>U4961</t>
  </si>
  <si>
    <t>U4962</t>
  </si>
  <si>
    <t>U4965</t>
  </si>
  <si>
    <t>U4971</t>
  </si>
  <si>
    <t>U4981</t>
  </si>
  <si>
    <t>U4983</t>
  </si>
  <si>
    <t>U5011</t>
  </si>
  <si>
    <t>U5018</t>
  </si>
  <si>
    <t>U5029</t>
  </si>
  <si>
    <t>U5040</t>
  </si>
  <si>
    <t>U5050</t>
  </si>
  <si>
    <t>U5054</t>
  </si>
  <si>
    <t>U5057</t>
  </si>
  <si>
    <t>U5058</t>
  </si>
  <si>
    <t>U5060</t>
  </si>
  <si>
    <t>U5070</t>
  </si>
  <si>
    <t>U5072</t>
  </si>
  <si>
    <t>U5075</t>
  </si>
  <si>
    <t>U5079</t>
  </si>
  <si>
    <t>U5087</t>
  </si>
  <si>
    <t>U5095</t>
  </si>
  <si>
    <t>U5098</t>
  </si>
  <si>
    <t>U5114</t>
  </si>
  <si>
    <t>U5116</t>
  </si>
  <si>
    <t>U5125</t>
  </si>
  <si>
    <t>U5126</t>
  </si>
  <si>
    <t>U5127</t>
  </si>
  <si>
    <t>U5129</t>
  </si>
  <si>
    <t>U5149</t>
  </si>
  <si>
    <t>U5157</t>
  </si>
  <si>
    <t>U5159</t>
  </si>
  <si>
    <t>U5162</t>
  </si>
  <si>
    <t>U5177</t>
  </si>
  <si>
    <t>U5188</t>
  </si>
  <si>
    <t>U5189</t>
  </si>
  <si>
    <t>U5190</t>
  </si>
  <si>
    <t>U5192</t>
  </si>
  <si>
    <t>U5216</t>
  </si>
  <si>
    <t>U5226</t>
  </si>
  <si>
    <t>U5229</t>
  </si>
  <si>
    <t>U5230</t>
  </si>
  <si>
    <t>U5235</t>
  </si>
  <si>
    <t>U5254</t>
  </si>
  <si>
    <t>U5260</t>
  </si>
  <si>
    <t>U5270</t>
  </si>
  <si>
    <t>U5284</t>
  </si>
  <si>
    <t>U5288</t>
  </si>
  <si>
    <t>U5297</t>
  </si>
  <si>
    <t>U5302</t>
  </si>
  <si>
    <t>U5303</t>
  </si>
  <si>
    <t>U5317</t>
  </si>
  <si>
    <t>U5318</t>
  </si>
  <si>
    <t>U5319</t>
  </si>
  <si>
    <t>U5320</t>
  </si>
  <si>
    <t>U5321</t>
  </si>
  <si>
    <t>U5328</t>
  </si>
  <si>
    <t>U5331</t>
  </si>
  <si>
    <t>U5335</t>
  </si>
  <si>
    <t>U5342</t>
  </si>
  <si>
    <t>U5346</t>
  </si>
  <si>
    <t>U5347</t>
  </si>
  <si>
    <t>U5352</t>
  </si>
  <si>
    <t>U5356</t>
  </si>
  <si>
    <t>U5368</t>
  </si>
  <si>
    <t>U5390</t>
  </si>
  <si>
    <t>U5393</t>
  </si>
  <si>
    <t>U5406</t>
  </si>
  <si>
    <t>U5408</t>
  </si>
  <si>
    <t>U5413</t>
  </si>
  <si>
    <t>U5417</t>
  </si>
  <si>
    <t>U5443</t>
  </si>
  <si>
    <t>U5454</t>
  </si>
  <si>
    <t>U5467</t>
  </si>
  <si>
    <t>U5475</t>
  </si>
  <si>
    <t>U5476</t>
  </si>
  <si>
    <t>U5477</t>
  </si>
  <si>
    <t>U5479</t>
  </si>
  <si>
    <t>U5489</t>
  </si>
  <si>
    <t>U5492</t>
  </si>
  <si>
    <t>U5493</t>
  </si>
  <si>
    <t>U5501</t>
  </si>
  <si>
    <t>U5505</t>
  </si>
  <si>
    <t>U5512</t>
  </si>
  <si>
    <t>U5521</t>
  </si>
  <si>
    <t>U5522</t>
  </si>
  <si>
    <t>U5530</t>
  </si>
  <si>
    <t>U5540</t>
  </si>
  <si>
    <t>U5547</t>
  </si>
  <si>
    <t>U5578</t>
  </si>
  <si>
    <t>U5583</t>
  </si>
  <si>
    <t>U5590</t>
  </si>
  <si>
    <t>U5596</t>
  </si>
  <si>
    <t>U5598</t>
  </si>
  <si>
    <t>U5600</t>
  </si>
  <si>
    <t>U5601</t>
  </si>
  <si>
    <t>U5608</t>
  </si>
  <si>
    <t>U5609</t>
  </si>
  <si>
    <t>U5617</t>
  </si>
  <si>
    <t>U5618</t>
  </si>
  <si>
    <t>U5626</t>
  </si>
  <si>
    <t>U5629</t>
  </si>
  <si>
    <t>U5630</t>
  </si>
  <si>
    <t>U5634</t>
  </si>
  <si>
    <t>U5635</t>
  </si>
  <si>
    <t>U5657</t>
  </si>
  <si>
    <t>U5673</t>
  </si>
  <si>
    <t>U5676</t>
  </si>
  <si>
    <t>U5679</t>
  </si>
  <si>
    <t>U5688</t>
  </si>
  <si>
    <t>U5691</t>
  </si>
  <si>
    <t>U5696</t>
  </si>
  <si>
    <t>U5698</t>
  </si>
  <si>
    <t>U5700</t>
  </si>
  <si>
    <t>U5701</t>
  </si>
  <si>
    <t>U5704</t>
  </si>
  <si>
    <t>U5705</t>
  </si>
  <si>
    <t>U5709</t>
  </si>
  <si>
    <t>U5711</t>
  </si>
  <si>
    <t>U5713</t>
  </si>
  <si>
    <t>U5721</t>
  </si>
  <si>
    <t>U5724</t>
  </si>
  <si>
    <t>U5728</t>
  </si>
  <si>
    <t>U5738</t>
  </si>
  <si>
    <t>U5748</t>
  </si>
  <si>
    <t>U5753</t>
  </si>
  <si>
    <t>U5759</t>
  </si>
  <si>
    <t>U5780</t>
  </si>
  <si>
    <t>U5800</t>
  </si>
  <si>
    <t>U5803</t>
  </si>
  <si>
    <t>U5807</t>
  </si>
  <si>
    <t>U5808</t>
  </si>
  <si>
    <t>U5819</t>
  </si>
  <si>
    <t>U5824</t>
  </si>
  <si>
    <t>U5831</t>
  </si>
  <si>
    <t>U5834</t>
  </si>
  <si>
    <t>U5843</t>
  </si>
  <si>
    <t>U5871</t>
  </si>
  <si>
    <t>U5873</t>
  </si>
  <si>
    <t>U5875</t>
  </si>
  <si>
    <t>U5893</t>
  </si>
  <si>
    <t>U5902</t>
  </si>
  <si>
    <t>U5908</t>
  </si>
  <si>
    <t>U5914</t>
  </si>
  <si>
    <t>U5922</t>
  </si>
  <si>
    <t>U5923</t>
  </si>
  <si>
    <t>U5925</t>
  </si>
  <si>
    <t>U5928</t>
  </si>
  <si>
    <t>U5935</t>
  </si>
  <si>
    <t>U5942</t>
  </si>
  <si>
    <t>U5953</t>
  </si>
  <si>
    <t>U5957</t>
  </si>
  <si>
    <t>U5961</t>
  </si>
  <si>
    <t>U5971</t>
  </si>
  <si>
    <t>U5979</t>
  </si>
  <si>
    <t>U5984</t>
  </si>
  <si>
    <t>U5996</t>
  </si>
  <si>
    <t>Grand Total</t>
  </si>
  <si>
    <t>Count of Most Played Artist</t>
  </si>
  <si>
    <t>Artist</t>
  </si>
  <si>
    <t>Calcutate mean, median , mode for  no.of songs played for each artist?</t>
  </si>
  <si>
    <t>Q1</t>
  </si>
  <si>
    <t>Q3</t>
  </si>
  <si>
    <t>IQR</t>
  </si>
  <si>
    <t>CORREL</t>
  </si>
  <si>
    <t>Average of Repeat Song Rate (%)</t>
  </si>
  <si>
    <t>What is the trend in repeat song rate relative to the no.of songs liked?</t>
  </si>
  <si>
    <t>1-100</t>
  </si>
  <si>
    <t>101-200</t>
  </si>
  <si>
    <t>201-300</t>
  </si>
  <si>
    <t>301-400</t>
  </si>
  <si>
    <t>401-500</t>
  </si>
  <si>
    <t>No. of songs liked</t>
  </si>
  <si>
    <t>MEAN</t>
  </si>
  <si>
    <t>MEDIAN</t>
  </si>
  <si>
    <t>MODE</t>
  </si>
  <si>
    <t>UPPER FENCE</t>
  </si>
  <si>
    <t>LOWER FENCE</t>
  </si>
  <si>
    <t>DATA AFTER TREATING OUTLIERS</t>
  </si>
  <si>
    <t>BOXPLOT BEFORE TREATMENT OF OUTLIERS</t>
  </si>
  <si>
    <t>MIN</t>
  </si>
  <si>
    <t>MAX</t>
  </si>
  <si>
    <t>RANGE</t>
  </si>
  <si>
    <t>VARIANCE</t>
  </si>
  <si>
    <t>STANDARD DEVIATION</t>
  </si>
  <si>
    <t>Average of Minutes Streamed Per Day</t>
  </si>
  <si>
    <t>Sum of Number of Songs Liked</t>
  </si>
  <si>
    <t>Average of Discover Weekly Engagement (%)</t>
  </si>
  <si>
    <t>What percentage of listeners prefers each artist ?</t>
  </si>
  <si>
    <t xml:space="preserve">	Does discover weekly engagement relate to repeat song rate?</t>
  </si>
  <si>
    <r>
      <t xml:space="preserve"> </t>
    </r>
    <r>
      <rPr>
        <b/>
        <sz val="12"/>
        <color theme="1"/>
        <rFont val="Aptos Narrow"/>
        <family val="2"/>
        <scheme val="minor"/>
      </rPr>
      <t>How does listening time affects repeat songs rate for each artist?</t>
    </r>
  </si>
  <si>
    <r>
      <rPr>
        <b/>
        <sz val="12"/>
        <color theme="1"/>
        <rFont val="Aptos Narrow"/>
        <family val="2"/>
        <scheme val="minor"/>
      </rPr>
      <t>BEFORE TREATMENT OF OUTLIERS</t>
    </r>
    <r>
      <rPr>
        <sz val="11"/>
        <color theme="1"/>
        <rFont val="Aptos Narrow"/>
        <family val="2"/>
        <scheme val="minor"/>
      </rPr>
      <t xml:space="preserve"> </t>
    </r>
  </si>
  <si>
    <t xml:space="preserve">correlation </t>
  </si>
  <si>
    <t>there is no correlation between weekly engagement rate &amp;  repeat song rate.</t>
  </si>
  <si>
    <t>13-22</t>
  </si>
  <si>
    <t>23-32</t>
  </si>
  <si>
    <t>33-42</t>
  </si>
  <si>
    <t>43-52</t>
  </si>
  <si>
    <t>53-62</t>
  </si>
  <si>
    <t>Average of Number of Songs Liked</t>
  </si>
  <si>
    <t>AGE DISTRIBUTION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</si>
</sst>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Aptos Narrow"/>
      <family val="2"/>
      <scheme val="minor"/>
    </font>
    <font>
      <b/>
      <sz val="14"/>
      <color theme="1"/>
      <name val="Aptos Narrow"/>
      <family val="2"/>
      <scheme val="minor"/>
    </font>
    <font>
      <b/>
      <sz val="11"/>
      <color theme="1"/>
      <name val="Aptos Narrow"/>
      <family val="2"/>
      <scheme val="minor"/>
    </font>
    <font>
      <sz val="12"/>
      <color theme="1"/>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20">
    <xf numFmtId="0" fontId="0" fillId="0" borderId="0" xfId="0"/>
    <xf numFmtId="0" fontId="1" fillId="0" borderId="1" xfId="0" applyFont="1" applyBorder="1"/>
    <xf numFmtId="0" fontId="1" fillId="0" borderId="2" xfId="0" applyFont="1" applyBorder="1"/>
    <xf numFmtId="0" fontId="1" fillId="0" borderId="0" xfId="0" applyFont="1"/>
    <xf numFmtId="0" fontId="2" fillId="2" borderId="0" xfId="0" applyFont="1" applyFill="1"/>
    <xf numFmtId="0" fontId="2" fillId="4" borderId="0" xfId="0" applyFont="1" applyFill="1"/>
    <xf numFmtId="0" fontId="2" fillId="3" borderId="0" xfId="0" applyFont="1" applyFill="1"/>
    <xf numFmtId="0" fontId="2" fillId="5" borderId="0" xfId="0" applyFont="1" applyFill="1"/>
    <xf numFmtId="0" fontId="3" fillId="0" borderId="0" xfId="0" applyFont="1"/>
    <xf numFmtId="0" fontId="2" fillId="6" borderId="0" xfId="0" applyFont="1" applyFill="1"/>
    <xf numFmtId="0" fontId="3" fillId="0" borderId="1" xfId="0" applyFont="1" applyBorder="1"/>
    <xf numFmtId="0" fontId="3" fillId="0" borderId="1" xfId="0" pivotButton="1" applyFont="1" applyBorder="1"/>
    <xf numFmtId="0" fontId="3" fillId="0" borderId="1" xfId="0" applyFont="1" applyBorder="1" applyAlignment="1">
      <alignment horizontal="left"/>
    </xf>
    <xf numFmtId="1" fontId="3" fillId="0" borderId="1" xfId="0" applyNumberFormat="1" applyFont="1" applyBorder="1"/>
    <xf numFmtId="0" fontId="4" fillId="0" borderId="0" xfId="0" applyFont="1"/>
    <xf numFmtId="0" fontId="1" fillId="0" borderId="1" xfId="0" pivotButton="1" applyFont="1" applyBorder="1"/>
    <xf numFmtId="0" fontId="1" fillId="0" borderId="1" xfId="0" applyFont="1" applyBorder="1" applyAlignment="1">
      <alignment horizontal="left"/>
    </xf>
    <xf numFmtId="1" fontId="1" fillId="0" borderId="1" xfId="0" applyNumberFormat="1" applyFont="1" applyBorder="1"/>
    <xf numFmtId="10" fontId="1" fillId="0" borderId="1" xfId="0" applyNumberFormat="1" applyFont="1" applyBorder="1"/>
    <xf numFmtId="1" fontId="1" fillId="0" borderId="3" xfId="0" applyNumberFormat="1" applyFont="1" applyBorder="1"/>
  </cellXfs>
  <cellStyles count="1">
    <cellStyle name="Normal" xfId="0" builtinId="0"/>
  </cellStyles>
  <dxfs count="103">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font>
    </dxf>
    <dxf>
      <font>
        <b/>
      </font>
    </dxf>
    <dxf>
      <font>
        <b/>
      </font>
    </dxf>
    <dxf>
      <font>
        <b/>
      </font>
    </dxf>
    <dxf>
      <font>
        <b/>
      </font>
    </dxf>
    <dxf>
      <font>
        <b/>
      </font>
    </dxf>
    <dxf>
      <font>
        <b/>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2"/>
      </font>
    </dxf>
    <dxf>
      <font>
        <b/>
      </font>
    </dxf>
    <dxf>
      <font>
        <sz val="12"/>
      </font>
    </dxf>
    <dxf>
      <font>
        <b/>
      </font>
    </dxf>
    <dxf>
      <font>
        <sz val="12"/>
      </font>
    </dxf>
    <dxf>
      <font>
        <b/>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numFmt numFmtId="1" formatCode="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b/>
      </font>
    </dxf>
    <dxf>
      <font>
        <b/>
      </font>
    </dxf>
    <dxf>
      <font>
        <b/>
      </font>
    </dxf>
    <dxf>
      <font>
        <b/>
      </font>
    </dxf>
    <dxf>
      <numFmt numFmtId="1" formatCode="0"/>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[Global-Music_Streaming_Listener_Preferences Manali.xlsx]TECHNICAL QUES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Age</a:t>
            </a:r>
            <a:r>
              <a:rPr lang="en-US" sz="1800" b="1" baseline="0"/>
              <a:t> Distribution</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2">
                <a:lumMod val="10000"/>
                <a:alpha val="9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'TECHNICAL QUES 2'!$B$3</c:f>
              <c:strCache>
                <c:ptCount val="1"/>
                <c:pt idx="0">
                  <c:v>Total</c:v>
                </c:pt>
              </c:strCache>
            </c:strRef>
          </c:tx>
          <c:spPr>
            <a:solidFill>
              <a:schemeClr val="accent1"/>
            </a:solidFill>
            <a:ln>
              <a:solidFill>
                <a:schemeClr val="bg2">
                  <a:lumMod val="10000"/>
                  <a:alpha val="9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'TECHNICAL QUES 2'!$A$4:$A$9</c:f>
              <c:strCache>
                <c:ptCount val="5"/>
                <c:pt idx="0">
                  <c:v>13-22</c:v>
                </c:pt>
                <c:pt idx="1">
                  <c:v>23-32</c:v>
                </c:pt>
                <c:pt idx="2">
                  <c:v>33-42</c:v>
                </c:pt>
                <c:pt idx="3">
                  <c:v>43-52</c:v>
                </c:pt>
                <c:pt idx="4">
                  <c:v>53-62</c:v>
                </c:pt>
              </c:strCache>
            </c:strRef>
          </c:cat>
          <c:val>
            <c:numRef>
              <c:f>'TECHNICAL QUES 2'!$B$4:$B$9</c:f>
              <c:numCache>
                <c:formatCode>0</c:formatCode>
                <c:ptCount val="5"/>
                <c:pt idx="0">
                  <c:v>264.12592592592591</c:v>
                </c:pt>
                <c:pt idx="1">
                  <c:v>263.38787878787878</c:v>
                </c:pt>
                <c:pt idx="2">
                  <c:v>259.81132075471697</c:v>
                </c:pt>
                <c:pt idx="3">
                  <c:v>233.71508379888269</c:v>
                </c:pt>
                <c:pt idx="4">
                  <c:v>249.95161290322579</c:v>
                </c:pt>
              </c:numCache>
            </c:numRef>
          </c:val>
          <c:extLst>
            <c:ext xmlns:c16="http://schemas.microsoft.com/office/drawing/2014/chart" uri="{C3380CC4-5D6E-409C-BE32-E72D297353CC}">
              <c16:uniqueId val="{00000003-0FEE-42A2-ADA8-95CFA4F0E022}"/>
            </c:ext>
          </c:extLst>
        </c:ser>
        <c:dLbls>
          <c:dLblPos val="outEnd"/>
          <c:showLegendKey val="0"/>
          <c:showVal val="1"/>
          <c:showCatName val="0"/>
          <c:showSerName val="0"/>
          <c:showPercent val="0"/>
          <c:showBubbleSize val="0"/>
        </c:dLbls>
        <c:gapWidth val="0"/>
        <c:overlap val="-27"/>
        <c:axId val="716955743"/>
        <c:axId val="715147727"/>
      </c:barChart>
      <c:catAx>
        <c:axId val="71695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147727"/>
        <c:crosses val="autoZero"/>
        <c:auto val="1"/>
        <c:lblAlgn val="ctr"/>
        <c:lblOffset val="100"/>
        <c:noMultiLvlLbl val="0"/>
      </c:catAx>
      <c:valAx>
        <c:axId val="7151477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1695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[Global-Music_Streaming_Listener_Preferences Manali.xlsx]Q.1!PivotTable22</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'LISTENERS  PREFERENCE BY ARTIST</a:t>
            </a:r>
          </a:p>
        </c:rich>
      </c:tx>
      <c:layout>
        <c:manualLayout>
          <c:xMode val="edge"/>
          <c:yMode val="edge"/>
          <c:x val="0.18154155730533686"/>
          <c:y val="9.1571886847477399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Q.1!$E$1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2-D043-4E7A-914F-DB50B3641AB7}"/>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7101-4D82-8568-D2B3040851F9}"/>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3-D043-4E7A-914F-DB50B3641AB7}"/>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4-D043-4E7A-914F-DB50B3641AB7}"/>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7101-4D82-8568-D2B3040851F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Q.1!$D$2:$D$7</c:f>
              <c:strCache>
                <c:ptCount val="5"/>
                <c:pt idx="0">
                  <c:v>Bad Bunny</c:v>
                </c:pt>
                <c:pt idx="1">
                  <c:v>Billie Eilish</c:v>
                </c:pt>
                <c:pt idx="2">
                  <c:v>BTS</c:v>
                </c:pt>
                <c:pt idx="3">
                  <c:v>Ed Sheeran</c:v>
                </c:pt>
                <c:pt idx="4">
                  <c:v>Taylor Swift</c:v>
                </c:pt>
              </c:strCache>
            </c:strRef>
          </c:cat>
          <c:val>
            <c:numRef>
              <c:f>Q.1!$E$2:$E$7</c:f>
              <c:numCache>
                <c:formatCode>0.00%</c:formatCode>
                <c:ptCount val="5"/>
                <c:pt idx="0">
                  <c:v>0.21522309711286089</c:v>
                </c:pt>
                <c:pt idx="1">
                  <c:v>0.1889763779527559</c:v>
                </c:pt>
                <c:pt idx="2">
                  <c:v>0.18372703412073491</c:v>
                </c:pt>
                <c:pt idx="3">
                  <c:v>0.20341207349081364</c:v>
                </c:pt>
                <c:pt idx="4">
                  <c:v>0.20866141732283464</c:v>
                </c:pt>
              </c:numCache>
            </c:numRef>
          </c:val>
          <c:extLst>
            <c:ext xmlns:c16="http://schemas.microsoft.com/office/drawing/2014/chart" uri="{C3380CC4-5D6E-409C-BE32-E72D297353CC}">
              <c16:uniqueId val="{00000000-D043-4E7A-914F-DB50B3641AB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7013888888888893"/>
          <c:y val="0.60862350539515897"/>
          <c:w val="0.22708333333333333"/>
          <c:h val="0.323815252260134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[Global-Music_Streaming_Listener_Preferences Manali.xlsx]Q.2!PivotTable12</c:name>
    <c:fmtId val="0"/>
  </c:pivotSource>
  <c:chart>
    <c:title>
      <c:tx>
        <c:rich>
          <a:bodyPr rot="0" spcFirstLastPara="1" vertOverflow="ellipsis" vert="horz" wrap="square" anchor="ctr" anchorCtr="1"/>
          <a:lstStyle/>
          <a:p>
            <a:pPr>
              <a:defRPr sz="1600" b="1" i="0" u="none" strike="noStrike" kern="1200" cap="none" spc="50" normalizeH="0" baseline="0">
                <a:solidFill>
                  <a:schemeClr val="tx1">
                    <a:lumMod val="95000"/>
                    <a:lumOff val="5000"/>
                  </a:schemeClr>
                </a:solidFill>
                <a:latin typeface="+mj-lt"/>
                <a:ea typeface="+mj-ea"/>
                <a:cs typeface="+mj-cs"/>
              </a:defRPr>
            </a:pPr>
            <a:r>
              <a:rPr lang="en-US" b="1">
                <a:solidFill>
                  <a:schemeClr val="tx1">
                    <a:lumMod val="95000"/>
                    <a:lumOff val="5000"/>
                  </a:schemeClr>
                </a:solidFill>
              </a:rPr>
              <a:t>REPEAT</a:t>
            </a:r>
            <a:r>
              <a:rPr lang="en-US" b="1" baseline="0">
                <a:solidFill>
                  <a:schemeClr val="tx1">
                    <a:lumMod val="95000"/>
                    <a:lumOff val="5000"/>
                  </a:schemeClr>
                </a:solidFill>
              </a:rPr>
              <a:t> SONG RATE BY ARTIST &amp; LISTENING TIME</a:t>
            </a:r>
            <a:endParaRPr lang="en-US" b="1">
              <a:solidFill>
                <a:schemeClr val="tx1">
                  <a:lumMod val="95000"/>
                  <a:lumOff val="5000"/>
                </a:schemeClr>
              </a:solidFill>
            </a:endParaRPr>
          </a:p>
        </c:rich>
      </c:tx>
      <c:layout>
        <c:manualLayout>
          <c:xMode val="edge"/>
          <c:yMode val="edge"/>
          <c:x val="6.0232419499391857E-2"/>
          <c:y val="0.10083114610673666"/>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95000"/>
                  <a:lumOff val="5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4928781768133E-2"/>
          <c:y val="0.31922244094488189"/>
          <c:w val="0.61770193169451382"/>
          <c:h val="0.43564085739282599"/>
        </c:manualLayout>
      </c:layout>
      <c:barChart>
        <c:barDir val="col"/>
        <c:grouping val="clustered"/>
        <c:varyColors val="0"/>
        <c:ser>
          <c:idx val="0"/>
          <c:order val="0"/>
          <c:tx>
            <c:strRef>
              <c:f>Q.2!$B$1:$B$2</c:f>
              <c:strCache>
                <c:ptCount val="1"/>
                <c:pt idx="0">
                  <c:v>Afternoon</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Q.2!$A$3:$A$8</c:f>
              <c:strCache>
                <c:ptCount val="5"/>
                <c:pt idx="0">
                  <c:v>Bad Bunny</c:v>
                </c:pt>
                <c:pt idx="1">
                  <c:v>Billie Eilish</c:v>
                </c:pt>
                <c:pt idx="2">
                  <c:v>BTS</c:v>
                </c:pt>
                <c:pt idx="3">
                  <c:v>Ed Sheeran</c:v>
                </c:pt>
                <c:pt idx="4">
                  <c:v>Taylor Swift</c:v>
                </c:pt>
              </c:strCache>
            </c:strRef>
          </c:cat>
          <c:val>
            <c:numRef>
              <c:f>Q.2!$B$3:$B$8</c:f>
              <c:numCache>
                <c:formatCode>0</c:formatCode>
                <c:ptCount val="5"/>
                <c:pt idx="0">
                  <c:v>44.631521739130442</c:v>
                </c:pt>
                <c:pt idx="1">
                  <c:v>42.041395348837206</c:v>
                </c:pt>
                <c:pt idx="2">
                  <c:v>41.091951219512211</c:v>
                </c:pt>
                <c:pt idx="3">
                  <c:v>42.617333333333342</c:v>
                </c:pt>
                <c:pt idx="4">
                  <c:v>39.516603773584905</c:v>
                </c:pt>
              </c:numCache>
            </c:numRef>
          </c:val>
          <c:extLst>
            <c:ext xmlns:c16="http://schemas.microsoft.com/office/drawing/2014/chart" uri="{C3380CC4-5D6E-409C-BE32-E72D297353CC}">
              <c16:uniqueId val="{00000000-2702-427C-8F59-521916AAD17C}"/>
            </c:ext>
          </c:extLst>
        </c:ser>
        <c:ser>
          <c:idx val="1"/>
          <c:order val="1"/>
          <c:tx>
            <c:strRef>
              <c:f>Q.2!$C$1:$C$2</c:f>
              <c:strCache>
                <c:ptCount val="1"/>
                <c:pt idx="0">
                  <c:v>Morning</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Q.2!$A$3:$A$8</c:f>
              <c:strCache>
                <c:ptCount val="5"/>
                <c:pt idx="0">
                  <c:v>Bad Bunny</c:v>
                </c:pt>
                <c:pt idx="1">
                  <c:v>Billie Eilish</c:v>
                </c:pt>
                <c:pt idx="2">
                  <c:v>BTS</c:v>
                </c:pt>
                <c:pt idx="3">
                  <c:v>Ed Sheeran</c:v>
                </c:pt>
                <c:pt idx="4">
                  <c:v>Taylor Swift</c:v>
                </c:pt>
              </c:strCache>
            </c:strRef>
          </c:cat>
          <c:val>
            <c:numRef>
              <c:f>Q.2!$C$3:$C$8</c:f>
              <c:numCache>
                <c:formatCode>0</c:formatCode>
                <c:ptCount val="5"/>
                <c:pt idx="0">
                  <c:v>46.253220338983034</c:v>
                </c:pt>
                <c:pt idx="1">
                  <c:v>45.183958333333329</c:v>
                </c:pt>
                <c:pt idx="2">
                  <c:v>44.475531914893608</c:v>
                </c:pt>
                <c:pt idx="3">
                  <c:v>41.190377358490558</c:v>
                </c:pt>
                <c:pt idx="4">
                  <c:v>40.530000000000008</c:v>
                </c:pt>
              </c:numCache>
            </c:numRef>
          </c:val>
          <c:extLst>
            <c:ext xmlns:c16="http://schemas.microsoft.com/office/drawing/2014/chart" uri="{C3380CC4-5D6E-409C-BE32-E72D297353CC}">
              <c16:uniqueId val="{00000000-1FF3-4589-AAC6-77E6C242DAF8}"/>
            </c:ext>
          </c:extLst>
        </c:ser>
        <c:ser>
          <c:idx val="2"/>
          <c:order val="2"/>
          <c:tx>
            <c:strRef>
              <c:f>Q.2!$D$1:$D$2</c:f>
              <c:strCache>
                <c:ptCount val="1"/>
                <c:pt idx="0">
                  <c:v>Night</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Q.2!$A$3:$A$8</c:f>
              <c:strCache>
                <c:ptCount val="5"/>
                <c:pt idx="0">
                  <c:v>Bad Bunny</c:v>
                </c:pt>
                <c:pt idx="1">
                  <c:v>Billie Eilish</c:v>
                </c:pt>
                <c:pt idx="2">
                  <c:v>BTS</c:v>
                </c:pt>
                <c:pt idx="3">
                  <c:v>Ed Sheeran</c:v>
                </c:pt>
                <c:pt idx="4">
                  <c:v>Taylor Swift</c:v>
                </c:pt>
              </c:strCache>
            </c:strRef>
          </c:cat>
          <c:val>
            <c:numRef>
              <c:f>Q.2!$D$3:$D$8</c:f>
              <c:numCache>
                <c:formatCode>0</c:formatCode>
                <c:ptCount val="5"/>
                <c:pt idx="0">
                  <c:v>40.792372881355917</c:v>
                </c:pt>
                <c:pt idx="1">
                  <c:v>45.295660377358494</c:v>
                </c:pt>
                <c:pt idx="2">
                  <c:v>41.556730769230775</c:v>
                </c:pt>
                <c:pt idx="3">
                  <c:v>40.265238095238104</c:v>
                </c:pt>
                <c:pt idx="4">
                  <c:v>40.842499999999994</c:v>
                </c:pt>
              </c:numCache>
            </c:numRef>
          </c:val>
          <c:extLst>
            <c:ext xmlns:c16="http://schemas.microsoft.com/office/drawing/2014/chart" uri="{C3380CC4-5D6E-409C-BE32-E72D297353CC}">
              <c16:uniqueId val="{00000001-1FF3-4589-AAC6-77E6C242DAF8}"/>
            </c:ext>
          </c:extLst>
        </c:ser>
        <c:dLbls>
          <c:dLblPos val="outEnd"/>
          <c:showLegendKey val="0"/>
          <c:showVal val="1"/>
          <c:showCatName val="0"/>
          <c:showSerName val="0"/>
          <c:showPercent val="0"/>
          <c:showBubbleSize val="0"/>
        </c:dLbls>
        <c:gapWidth val="80"/>
        <c:overlap val="25"/>
        <c:axId val="432737136"/>
        <c:axId val="1948960815"/>
      </c:barChart>
      <c:catAx>
        <c:axId val="4327371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lumMod val="95000"/>
                    <a:lumOff val="5000"/>
                  </a:schemeClr>
                </a:solidFill>
                <a:latin typeface="+mn-lt"/>
                <a:ea typeface="+mn-ea"/>
                <a:cs typeface="+mn-cs"/>
              </a:defRPr>
            </a:pPr>
            <a:endParaRPr lang="en-US"/>
          </a:p>
        </c:txPr>
        <c:crossAx val="1948960815"/>
        <c:crosses val="autoZero"/>
        <c:auto val="1"/>
        <c:lblAlgn val="ctr"/>
        <c:lblOffset val="100"/>
        <c:noMultiLvlLbl val="0"/>
      </c:catAx>
      <c:valAx>
        <c:axId val="1948960815"/>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tx1">
                    <a:lumMod val="95000"/>
                    <a:lumOff val="5000"/>
                  </a:schemeClr>
                </a:solidFill>
                <a:latin typeface="+mn-lt"/>
                <a:ea typeface="+mn-ea"/>
                <a:cs typeface="+mn-cs"/>
              </a:defRPr>
            </a:pPr>
            <a:endParaRPr lang="en-US"/>
          </a:p>
        </c:txPr>
        <c:crossAx val="432737136"/>
        <c:crosses val="autoZero"/>
        <c:crossBetween val="between"/>
      </c:valAx>
      <c:spPr>
        <a:noFill/>
        <a:ln>
          <a:noFill/>
        </a:ln>
        <a:effectLst/>
      </c:spPr>
    </c:plotArea>
    <c:legend>
      <c:legendPos val="r"/>
      <c:layout>
        <c:manualLayout>
          <c:xMode val="edge"/>
          <c:yMode val="edge"/>
          <c:x val="0.77896341463414642"/>
          <c:y val="0.68937554680664925"/>
          <c:w val="0.22103650925382398"/>
          <c:h val="0.29997643595655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WEEKLY ENGAGEMENT</a:t>
            </a:r>
            <a:r>
              <a:rPr lang="en-US" b="1" baseline="0">
                <a:solidFill>
                  <a:schemeClr val="tx1"/>
                </a:solidFill>
              </a:rPr>
              <a:t> Vs. REPEAT SONG RATE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91426071741033"/>
          <c:y val="0.17171296296296296"/>
          <c:w val="0.63519685039370077"/>
          <c:h val="0.66570246427529889"/>
        </c:manualLayout>
      </c:layout>
      <c:scatterChart>
        <c:scatterStyle val="lineMarker"/>
        <c:varyColors val="0"/>
        <c:ser>
          <c:idx val="0"/>
          <c:order val="0"/>
          <c:tx>
            <c:strRef>
              <c:f>Q.3!$B$1</c:f>
              <c:strCache>
                <c:ptCount val="1"/>
                <c:pt idx="0">
                  <c:v>Repeat Song Rate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bg2">
                    <a:lumMod val="10000"/>
                    <a:alpha val="92000"/>
                  </a:schemeClr>
                </a:solidFill>
                <a:prstDash val="sysDot"/>
              </a:ln>
              <a:effectLst/>
            </c:spPr>
            <c:trendlineType val="linear"/>
            <c:dispRSqr val="0"/>
            <c:dispEq val="0"/>
          </c:trendline>
          <c:xVal>
            <c:numRef>
              <c:f>Q.3!$A$2:$A$763</c:f>
              <c:numCache>
                <c:formatCode>General</c:formatCode>
                <c:ptCount val="762"/>
                <c:pt idx="0">
                  <c:v>11.92</c:v>
                </c:pt>
                <c:pt idx="1">
                  <c:v>87.77</c:v>
                </c:pt>
                <c:pt idx="2">
                  <c:v>88.44</c:v>
                </c:pt>
                <c:pt idx="3">
                  <c:v>27.4</c:v>
                </c:pt>
                <c:pt idx="4">
                  <c:v>85</c:v>
                </c:pt>
                <c:pt idx="5">
                  <c:v>35.53</c:v>
                </c:pt>
                <c:pt idx="6">
                  <c:v>32.01</c:v>
                </c:pt>
                <c:pt idx="7">
                  <c:v>33.21</c:v>
                </c:pt>
                <c:pt idx="8">
                  <c:v>24.8</c:v>
                </c:pt>
                <c:pt idx="9">
                  <c:v>11.74</c:v>
                </c:pt>
                <c:pt idx="10">
                  <c:v>53.63</c:v>
                </c:pt>
                <c:pt idx="11">
                  <c:v>25.42</c:v>
                </c:pt>
                <c:pt idx="12">
                  <c:v>19.66</c:v>
                </c:pt>
                <c:pt idx="13">
                  <c:v>43.81</c:v>
                </c:pt>
                <c:pt idx="14">
                  <c:v>58.36</c:v>
                </c:pt>
                <c:pt idx="15">
                  <c:v>45.38</c:v>
                </c:pt>
                <c:pt idx="16">
                  <c:v>30.14</c:v>
                </c:pt>
                <c:pt idx="17">
                  <c:v>63.28</c:v>
                </c:pt>
                <c:pt idx="18">
                  <c:v>63.51</c:v>
                </c:pt>
                <c:pt idx="19">
                  <c:v>43.17</c:v>
                </c:pt>
                <c:pt idx="20">
                  <c:v>25.58</c:v>
                </c:pt>
                <c:pt idx="21">
                  <c:v>44.31</c:v>
                </c:pt>
                <c:pt idx="22">
                  <c:v>61.93</c:v>
                </c:pt>
                <c:pt idx="23">
                  <c:v>19.05</c:v>
                </c:pt>
                <c:pt idx="24">
                  <c:v>49.22</c:v>
                </c:pt>
                <c:pt idx="25">
                  <c:v>76.78</c:v>
                </c:pt>
                <c:pt idx="26">
                  <c:v>70.83</c:v>
                </c:pt>
                <c:pt idx="27">
                  <c:v>30.64</c:v>
                </c:pt>
                <c:pt idx="28">
                  <c:v>49.49</c:v>
                </c:pt>
                <c:pt idx="29">
                  <c:v>73.11</c:v>
                </c:pt>
                <c:pt idx="30">
                  <c:v>85.39</c:v>
                </c:pt>
                <c:pt idx="31">
                  <c:v>49.2</c:v>
                </c:pt>
                <c:pt idx="32">
                  <c:v>24.79</c:v>
                </c:pt>
                <c:pt idx="33">
                  <c:v>59.28</c:v>
                </c:pt>
                <c:pt idx="34">
                  <c:v>55.32</c:v>
                </c:pt>
                <c:pt idx="35">
                  <c:v>69.77</c:v>
                </c:pt>
                <c:pt idx="36">
                  <c:v>11.98</c:v>
                </c:pt>
                <c:pt idx="37">
                  <c:v>72.34</c:v>
                </c:pt>
                <c:pt idx="38">
                  <c:v>83.19</c:v>
                </c:pt>
                <c:pt idx="39">
                  <c:v>11.84</c:v>
                </c:pt>
                <c:pt idx="40">
                  <c:v>70.05</c:v>
                </c:pt>
                <c:pt idx="41">
                  <c:v>74.86</c:v>
                </c:pt>
                <c:pt idx="42">
                  <c:v>38.68</c:v>
                </c:pt>
                <c:pt idx="43">
                  <c:v>88.99</c:v>
                </c:pt>
                <c:pt idx="44">
                  <c:v>17.809999999999999</c:v>
                </c:pt>
                <c:pt idx="45">
                  <c:v>14.84</c:v>
                </c:pt>
                <c:pt idx="46">
                  <c:v>10.55</c:v>
                </c:pt>
                <c:pt idx="47">
                  <c:v>67.08</c:v>
                </c:pt>
                <c:pt idx="48">
                  <c:v>89</c:v>
                </c:pt>
                <c:pt idx="49">
                  <c:v>84.38</c:v>
                </c:pt>
                <c:pt idx="50">
                  <c:v>54.28</c:v>
                </c:pt>
                <c:pt idx="51">
                  <c:v>31.79</c:v>
                </c:pt>
                <c:pt idx="52">
                  <c:v>50.08</c:v>
                </c:pt>
                <c:pt idx="53">
                  <c:v>87.81</c:v>
                </c:pt>
                <c:pt idx="54">
                  <c:v>44.42</c:v>
                </c:pt>
                <c:pt idx="55">
                  <c:v>77.31</c:v>
                </c:pt>
                <c:pt idx="56">
                  <c:v>68.239999999999995</c:v>
                </c:pt>
                <c:pt idx="57">
                  <c:v>78.78</c:v>
                </c:pt>
                <c:pt idx="58">
                  <c:v>18.36</c:v>
                </c:pt>
                <c:pt idx="59">
                  <c:v>21.03</c:v>
                </c:pt>
                <c:pt idx="60">
                  <c:v>50.42</c:v>
                </c:pt>
                <c:pt idx="61">
                  <c:v>15.03</c:v>
                </c:pt>
                <c:pt idx="62">
                  <c:v>71.319999999999993</c:v>
                </c:pt>
                <c:pt idx="63">
                  <c:v>31.83</c:v>
                </c:pt>
                <c:pt idx="64">
                  <c:v>57.27</c:v>
                </c:pt>
                <c:pt idx="65">
                  <c:v>27.33</c:v>
                </c:pt>
                <c:pt idx="66">
                  <c:v>61.21</c:v>
                </c:pt>
                <c:pt idx="67">
                  <c:v>75.41</c:v>
                </c:pt>
                <c:pt idx="68">
                  <c:v>71.400000000000006</c:v>
                </c:pt>
                <c:pt idx="69">
                  <c:v>46.61</c:v>
                </c:pt>
                <c:pt idx="70">
                  <c:v>68.89</c:v>
                </c:pt>
                <c:pt idx="71">
                  <c:v>43.73</c:v>
                </c:pt>
                <c:pt idx="72">
                  <c:v>88.61</c:v>
                </c:pt>
                <c:pt idx="73">
                  <c:v>23.44</c:v>
                </c:pt>
                <c:pt idx="74">
                  <c:v>56.12</c:v>
                </c:pt>
                <c:pt idx="75">
                  <c:v>71.78</c:v>
                </c:pt>
                <c:pt idx="76">
                  <c:v>79.37</c:v>
                </c:pt>
                <c:pt idx="77">
                  <c:v>23.56</c:v>
                </c:pt>
                <c:pt idx="78">
                  <c:v>43.07</c:v>
                </c:pt>
                <c:pt idx="79">
                  <c:v>46.14</c:v>
                </c:pt>
                <c:pt idx="80">
                  <c:v>86.18</c:v>
                </c:pt>
                <c:pt idx="81">
                  <c:v>19.02</c:v>
                </c:pt>
                <c:pt idx="82">
                  <c:v>43.82</c:v>
                </c:pt>
                <c:pt idx="83">
                  <c:v>69.260000000000005</c:v>
                </c:pt>
                <c:pt idx="84">
                  <c:v>85.43</c:v>
                </c:pt>
                <c:pt idx="85">
                  <c:v>49.19</c:v>
                </c:pt>
                <c:pt idx="86">
                  <c:v>47.47</c:v>
                </c:pt>
                <c:pt idx="87">
                  <c:v>45.97</c:v>
                </c:pt>
                <c:pt idx="88">
                  <c:v>81.02</c:v>
                </c:pt>
                <c:pt idx="89">
                  <c:v>40.520000000000003</c:v>
                </c:pt>
                <c:pt idx="90">
                  <c:v>71.19</c:v>
                </c:pt>
                <c:pt idx="91">
                  <c:v>34.58</c:v>
                </c:pt>
                <c:pt idx="92">
                  <c:v>31</c:v>
                </c:pt>
                <c:pt idx="93">
                  <c:v>72.900000000000006</c:v>
                </c:pt>
                <c:pt idx="94">
                  <c:v>16.940000000000001</c:v>
                </c:pt>
                <c:pt idx="95">
                  <c:v>78.87</c:v>
                </c:pt>
                <c:pt idx="96">
                  <c:v>30.74</c:v>
                </c:pt>
                <c:pt idx="97">
                  <c:v>86.18</c:v>
                </c:pt>
                <c:pt idx="98">
                  <c:v>15</c:v>
                </c:pt>
                <c:pt idx="99">
                  <c:v>37.33</c:v>
                </c:pt>
                <c:pt idx="100">
                  <c:v>36.26</c:v>
                </c:pt>
                <c:pt idx="101">
                  <c:v>26.86</c:v>
                </c:pt>
                <c:pt idx="102">
                  <c:v>76.86</c:v>
                </c:pt>
                <c:pt idx="103">
                  <c:v>42.49</c:v>
                </c:pt>
                <c:pt idx="104">
                  <c:v>72.89</c:v>
                </c:pt>
                <c:pt idx="105">
                  <c:v>29.75</c:v>
                </c:pt>
                <c:pt idx="106">
                  <c:v>61.38</c:v>
                </c:pt>
                <c:pt idx="107">
                  <c:v>33.94</c:v>
                </c:pt>
                <c:pt idx="108">
                  <c:v>23.3</c:v>
                </c:pt>
                <c:pt idx="109">
                  <c:v>33.299999999999997</c:v>
                </c:pt>
                <c:pt idx="110">
                  <c:v>72.27</c:v>
                </c:pt>
                <c:pt idx="111">
                  <c:v>88.11</c:v>
                </c:pt>
                <c:pt idx="112">
                  <c:v>33.74</c:v>
                </c:pt>
                <c:pt idx="113">
                  <c:v>60.42</c:v>
                </c:pt>
                <c:pt idx="114">
                  <c:v>49.61</c:v>
                </c:pt>
                <c:pt idx="115">
                  <c:v>65.33</c:v>
                </c:pt>
                <c:pt idx="116">
                  <c:v>62.8</c:v>
                </c:pt>
                <c:pt idx="117">
                  <c:v>57.83</c:v>
                </c:pt>
                <c:pt idx="118">
                  <c:v>84.8</c:v>
                </c:pt>
                <c:pt idx="119">
                  <c:v>72.989999999999995</c:v>
                </c:pt>
                <c:pt idx="120">
                  <c:v>11.26</c:v>
                </c:pt>
                <c:pt idx="121">
                  <c:v>16.11</c:v>
                </c:pt>
                <c:pt idx="122">
                  <c:v>80.44</c:v>
                </c:pt>
                <c:pt idx="123">
                  <c:v>39.880000000000003</c:v>
                </c:pt>
                <c:pt idx="124">
                  <c:v>27.72</c:v>
                </c:pt>
                <c:pt idx="125">
                  <c:v>27.74</c:v>
                </c:pt>
                <c:pt idx="126">
                  <c:v>48.03</c:v>
                </c:pt>
                <c:pt idx="127">
                  <c:v>72.8</c:v>
                </c:pt>
                <c:pt idx="128">
                  <c:v>30.05</c:v>
                </c:pt>
                <c:pt idx="129">
                  <c:v>56.66</c:v>
                </c:pt>
                <c:pt idx="130">
                  <c:v>69.34</c:v>
                </c:pt>
                <c:pt idx="131">
                  <c:v>68.459999999999994</c:v>
                </c:pt>
                <c:pt idx="132">
                  <c:v>62.49</c:v>
                </c:pt>
                <c:pt idx="133">
                  <c:v>12.11</c:v>
                </c:pt>
                <c:pt idx="134">
                  <c:v>24.29</c:v>
                </c:pt>
                <c:pt idx="135">
                  <c:v>33.83</c:v>
                </c:pt>
                <c:pt idx="136">
                  <c:v>49.76</c:v>
                </c:pt>
                <c:pt idx="137">
                  <c:v>24.47</c:v>
                </c:pt>
                <c:pt idx="138">
                  <c:v>80.040000000000006</c:v>
                </c:pt>
                <c:pt idx="139">
                  <c:v>55.82</c:v>
                </c:pt>
                <c:pt idx="140">
                  <c:v>45.57</c:v>
                </c:pt>
                <c:pt idx="141">
                  <c:v>78.2</c:v>
                </c:pt>
                <c:pt idx="142">
                  <c:v>11.3</c:v>
                </c:pt>
                <c:pt idx="143">
                  <c:v>57.5</c:v>
                </c:pt>
                <c:pt idx="144">
                  <c:v>87.65</c:v>
                </c:pt>
                <c:pt idx="145">
                  <c:v>20.059999999999999</c:v>
                </c:pt>
                <c:pt idx="146">
                  <c:v>84.48</c:v>
                </c:pt>
                <c:pt idx="147">
                  <c:v>54.79</c:v>
                </c:pt>
                <c:pt idx="148">
                  <c:v>35.340000000000003</c:v>
                </c:pt>
                <c:pt idx="149">
                  <c:v>34.659999999999997</c:v>
                </c:pt>
                <c:pt idx="150">
                  <c:v>85.99</c:v>
                </c:pt>
                <c:pt idx="151">
                  <c:v>81.77</c:v>
                </c:pt>
                <c:pt idx="152">
                  <c:v>60.83</c:v>
                </c:pt>
                <c:pt idx="153">
                  <c:v>68.11</c:v>
                </c:pt>
                <c:pt idx="154">
                  <c:v>17.87</c:v>
                </c:pt>
                <c:pt idx="155">
                  <c:v>35.31</c:v>
                </c:pt>
                <c:pt idx="156">
                  <c:v>69.010000000000005</c:v>
                </c:pt>
                <c:pt idx="157">
                  <c:v>31.46</c:v>
                </c:pt>
                <c:pt idx="158">
                  <c:v>51.18</c:v>
                </c:pt>
                <c:pt idx="159">
                  <c:v>67.33</c:v>
                </c:pt>
                <c:pt idx="160">
                  <c:v>84.14</c:v>
                </c:pt>
                <c:pt idx="161">
                  <c:v>26.22</c:v>
                </c:pt>
                <c:pt idx="162">
                  <c:v>84.4</c:v>
                </c:pt>
                <c:pt idx="163">
                  <c:v>89.39</c:v>
                </c:pt>
                <c:pt idx="164">
                  <c:v>60.49</c:v>
                </c:pt>
                <c:pt idx="165">
                  <c:v>71.37</c:v>
                </c:pt>
                <c:pt idx="166">
                  <c:v>46.96</c:v>
                </c:pt>
                <c:pt idx="167">
                  <c:v>55.13</c:v>
                </c:pt>
                <c:pt idx="168">
                  <c:v>55.98</c:v>
                </c:pt>
                <c:pt idx="169">
                  <c:v>48.88</c:v>
                </c:pt>
                <c:pt idx="170">
                  <c:v>46.16</c:v>
                </c:pt>
                <c:pt idx="171">
                  <c:v>12.02</c:v>
                </c:pt>
                <c:pt idx="172">
                  <c:v>26.33</c:v>
                </c:pt>
                <c:pt idx="173">
                  <c:v>39.67</c:v>
                </c:pt>
                <c:pt idx="174">
                  <c:v>77.83</c:v>
                </c:pt>
                <c:pt idx="175">
                  <c:v>40.17</c:v>
                </c:pt>
                <c:pt idx="176">
                  <c:v>76.790000000000006</c:v>
                </c:pt>
                <c:pt idx="177">
                  <c:v>12.17</c:v>
                </c:pt>
                <c:pt idx="178">
                  <c:v>47.09</c:v>
                </c:pt>
                <c:pt idx="179">
                  <c:v>10.55</c:v>
                </c:pt>
                <c:pt idx="180">
                  <c:v>46.76</c:v>
                </c:pt>
                <c:pt idx="181">
                  <c:v>35.409999999999997</c:v>
                </c:pt>
                <c:pt idx="182">
                  <c:v>50.97</c:v>
                </c:pt>
                <c:pt idx="183">
                  <c:v>18.170000000000002</c:v>
                </c:pt>
                <c:pt idx="184">
                  <c:v>70.239999999999995</c:v>
                </c:pt>
                <c:pt idx="185">
                  <c:v>11.2</c:v>
                </c:pt>
                <c:pt idx="186">
                  <c:v>79.41</c:v>
                </c:pt>
                <c:pt idx="187">
                  <c:v>77.959999999999994</c:v>
                </c:pt>
                <c:pt idx="188">
                  <c:v>53.68</c:v>
                </c:pt>
                <c:pt idx="189">
                  <c:v>28.72</c:v>
                </c:pt>
                <c:pt idx="190">
                  <c:v>34.549999999999997</c:v>
                </c:pt>
                <c:pt idx="191">
                  <c:v>55.7</c:v>
                </c:pt>
                <c:pt idx="192">
                  <c:v>19.8</c:v>
                </c:pt>
                <c:pt idx="193">
                  <c:v>68.319999999999993</c:v>
                </c:pt>
                <c:pt idx="194">
                  <c:v>71.98</c:v>
                </c:pt>
                <c:pt idx="195">
                  <c:v>33.53</c:v>
                </c:pt>
                <c:pt idx="196">
                  <c:v>73.84</c:v>
                </c:pt>
                <c:pt idx="197">
                  <c:v>18.34</c:v>
                </c:pt>
                <c:pt idx="198">
                  <c:v>16.23</c:v>
                </c:pt>
                <c:pt idx="199">
                  <c:v>36.5</c:v>
                </c:pt>
                <c:pt idx="200">
                  <c:v>72.48</c:v>
                </c:pt>
                <c:pt idx="201">
                  <c:v>58.15</c:v>
                </c:pt>
                <c:pt idx="202">
                  <c:v>33.24</c:v>
                </c:pt>
                <c:pt idx="203">
                  <c:v>52.37</c:v>
                </c:pt>
                <c:pt idx="204">
                  <c:v>47.08</c:v>
                </c:pt>
                <c:pt idx="205">
                  <c:v>65.48</c:v>
                </c:pt>
                <c:pt idx="206">
                  <c:v>87.1</c:v>
                </c:pt>
                <c:pt idx="207">
                  <c:v>37.69</c:v>
                </c:pt>
                <c:pt idx="208">
                  <c:v>15.9</c:v>
                </c:pt>
                <c:pt idx="209">
                  <c:v>40.31</c:v>
                </c:pt>
                <c:pt idx="210">
                  <c:v>21.66</c:v>
                </c:pt>
                <c:pt idx="211">
                  <c:v>73.91</c:v>
                </c:pt>
                <c:pt idx="212">
                  <c:v>89.04</c:v>
                </c:pt>
                <c:pt idx="213">
                  <c:v>38.479999999999997</c:v>
                </c:pt>
                <c:pt idx="214">
                  <c:v>47.31</c:v>
                </c:pt>
                <c:pt idx="215">
                  <c:v>59.1</c:v>
                </c:pt>
                <c:pt idx="216">
                  <c:v>15.81</c:v>
                </c:pt>
                <c:pt idx="217">
                  <c:v>36.450000000000003</c:v>
                </c:pt>
                <c:pt idx="218">
                  <c:v>59.14</c:v>
                </c:pt>
                <c:pt idx="219">
                  <c:v>78.040000000000006</c:v>
                </c:pt>
                <c:pt idx="220">
                  <c:v>85</c:v>
                </c:pt>
                <c:pt idx="221">
                  <c:v>76.459999999999994</c:v>
                </c:pt>
                <c:pt idx="222">
                  <c:v>27.35</c:v>
                </c:pt>
                <c:pt idx="223">
                  <c:v>59.45</c:v>
                </c:pt>
                <c:pt idx="224">
                  <c:v>54.98</c:v>
                </c:pt>
                <c:pt idx="225">
                  <c:v>61.88</c:v>
                </c:pt>
                <c:pt idx="226">
                  <c:v>73.02</c:v>
                </c:pt>
                <c:pt idx="227">
                  <c:v>25.97</c:v>
                </c:pt>
                <c:pt idx="228">
                  <c:v>15.22</c:v>
                </c:pt>
                <c:pt idx="229">
                  <c:v>58.58</c:v>
                </c:pt>
                <c:pt idx="230">
                  <c:v>37.159999999999997</c:v>
                </c:pt>
                <c:pt idx="231">
                  <c:v>54.45</c:v>
                </c:pt>
                <c:pt idx="232">
                  <c:v>63.72</c:v>
                </c:pt>
                <c:pt idx="233">
                  <c:v>33.46</c:v>
                </c:pt>
                <c:pt idx="234">
                  <c:v>28.63</c:v>
                </c:pt>
                <c:pt idx="235">
                  <c:v>34.56</c:v>
                </c:pt>
                <c:pt idx="236">
                  <c:v>53.28</c:v>
                </c:pt>
                <c:pt idx="237">
                  <c:v>55.99</c:v>
                </c:pt>
                <c:pt idx="238">
                  <c:v>25.1</c:v>
                </c:pt>
                <c:pt idx="239">
                  <c:v>83.46</c:v>
                </c:pt>
                <c:pt idx="240">
                  <c:v>18.940000000000001</c:v>
                </c:pt>
                <c:pt idx="241">
                  <c:v>10.24</c:v>
                </c:pt>
                <c:pt idx="242">
                  <c:v>15.79</c:v>
                </c:pt>
                <c:pt idx="243">
                  <c:v>30.76</c:v>
                </c:pt>
                <c:pt idx="244">
                  <c:v>13.78</c:v>
                </c:pt>
                <c:pt idx="245">
                  <c:v>75.88</c:v>
                </c:pt>
                <c:pt idx="246">
                  <c:v>43.46</c:v>
                </c:pt>
                <c:pt idx="247">
                  <c:v>76.66</c:v>
                </c:pt>
                <c:pt idx="248">
                  <c:v>57.22</c:v>
                </c:pt>
                <c:pt idx="249">
                  <c:v>58.95</c:v>
                </c:pt>
                <c:pt idx="250">
                  <c:v>62.26</c:v>
                </c:pt>
                <c:pt idx="251">
                  <c:v>79.88</c:v>
                </c:pt>
                <c:pt idx="252">
                  <c:v>15.48</c:v>
                </c:pt>
                <c:pt idx="253">
                  <c:v>71.41</c:v>
                </c:pt>
                <c:pt idx="254">
                  <c:v>41.31</c:v>
                </c:pt>
                <c:pt idx="255">
                  <c:v>23.47</c:v>
                </c:pt>
                <c:pt idx="256">
                  <c:v>87.61</c:v>
                </c:pt>
                <c:pt idx="257">
                  <c:v>19.02</c:v>
                </c:pt>
                <c:pt idx="258">
                  <c:v>59.4</c:v>
                </c:pt>
                <c:pt idx="259">
                  <c:v>49.39</c:v>
                </c:pt>
                <c:pt idx="260">
                  <c:v>25.59</c:v>
                </c:pt>
                <c:pt idx="261">
                  <c:v>76.42</c:v>
                </c:pt>
                <c:pt idx="262">
                  <c:v>57.73</c:v>
                </c:pt>
                <c:pt idx="263">
                  <c:v>54.57</c:v>
                </c:pt>
                <c:pt idx="264">
                  <c:v>46.87</c:v>
                </c:pt>
                <c:pt idx="265">
                  <c:v>45.1</c:v>
                </c:pt>
                <c:pt idx="266">
                  <c:v>26.42</c:v>
                </c:pt>
                <c:pt idx="267">
                  <c:v>46.4</c:v>
                </c:pt>
                <c:pt idx="268">
                  <c:v>22.73</c:v>
                </c:pt>
                <c:pt idx="269">
                  <c:v>86.1</c:v>
                </c:pt>
                <c:pt idx="270">
                  <c:v>18.27</c:v>
                </c:pt>
                <c:pt idx="271">
                  <c:v>36.44</c:v>
                </c:pt>
                <c:pt idx="272">
                  <c:v>69.66</c:v>
                </c:pt>
                <c:pt idx="273">
                  <c:v>61.62</c:v>
                </c:pt>
                <c:pt idx="274">
                  <c:v>10.28</c:v>
                </c:pt>
                <c:pt idx="275">
                  <c:v>45.35</c:v>
                </c:pt>
                <c:pt idx="276">
                  <c:v>67.77</c:v>
                </c:pt>
                <c:pt idx="277">
                  <c:v>38.53</c:v>
                </c:pt>
                <c:pt idx="278">
                  <c:v>18.41</c:v>
                </c:pt>
                <c:pt idx="279">
                  <c:v>16.920000000000002</c:v>
                </c:pt>
                <c:pt idx="280">
                  <c:v>76.66</c:v>
                </c:pt>
                <c:pt idx="281">
                  <c:v>74.510000000000005</c:v>
                </c:pt>
                <c:pt idx="282">
                  <c:v>56.24</c:v>
                </c:pt>
                <c:pt idx="283">
                  <c:v>57.91</c:v>
                </c:pt>
                <c:pt idx="284">
                  <c:v>64</c:v>
                </c:pt>
                <c:pt idx="285">
                  <c:v>49.57</c:v>
                </c:pt>
                <c:pt idx="286">
                  <c:v>23.25</c:v>
                </c:pt>
                <c:pt idx="287">
                  <c:v>87.53</c:v>
                </c:pt>
                <c:pt idx="288">
                  <c:v>76.430000000000007</c:v>
                </c:pt>
                <c:pt idx="289">
                  <c:v>30.82</c:v>
                </c:pt>
                <c:pt idx="290">
                  <c:v>36.46</c:v>
                </c:pt>
                <c:pt idx="291">
                  <c:v>53.51</c:v>
                </c:pt>
                <c:pt idx="292">
                  <c:v>86.43</c:v>
                </c:pt>
                <c:pt idx="293">
                  <c:v>44.02</c:v>
                </c:pt>
                <c:pt idx="294">
                  <c:v>60.61</c:v>
                </c:pt>
                <c:pt idx="295">
                  <c:v>64.13</c:v>
                </c:pt>
                <c:pt idx="296">
                  <c:v>11.99</c:v>
                </c:pt>
                <c:pt idx="297">
                  <c:v>37.729999999999997</c:v>
                </c:pt>
                <c:pt idx="298">
                  <c:v>78.63</c:v>
                </c:pt>
                <c:pt idx="299">
                  <c:v>56.8</c:v>
                </c:pt>
                <c:pt idx="300">
                  <c:v>24</c:v>
                </c:pt>
                <c:pt idx="301">
                  <c:v>38.549999999999997</c:v>
                </c:pt>
                <c:pt idx="302">
                  <c:v>41.72</c:v>
                </c:pt>
                <c:pt idx="303">
                  <c:v>59.66</c:v>
                </c:pt>
                <c:pt idx="304">
                  <c:v>59.88</c:v>
                </c:pt>
                <c:pt idx="305">
                  <c:v>54.44</c:v>
                </c:pt>
                <c:pt idx="306">
                  <c:v>84.36</c:v>
                </c:pt>
                <c:pt idx="307">
                  <c:v>71.650000000000006</c:v>
                </c:pt>
                <c:pt idx="308">
                  <c:v>80.290000000000006</c:v>
                </c:pt>
                <c:pt idx="309">
                  <c:v>47.21</c:v>
                </c:pt>
                <c:pt idx="310">
                  <c:v>14.74</c:v>
                </c:pt>
                <c:pt idx="311">
                  <c:v>71.900000000000006</c:v>
                </c:pt>
                <c:pt idx="312">
                  <c:v>58.42</c:v>
                </c:pt>
                <c:pt idx="313">
                  <c:v>36.229999999999997</c:v>
                </c:pt>
                <c:pt idx="314">
                  <c:v>23.01</c:v>
                </c:pt>
                <c:pt idx="315">
                  <c:v>59.96</c:v>
                </c:pt>
                <c:pt idx="316">
                  <c:v>63.86</c:v>
                </c:pt>
                <c:pt idx="317">
                  <c:v>89.47</c:v>
                </c:pt>
                <c:pt idx="318">
                  <c:v>17.18</c:v>
                </c:pt>
                <c:pt idx="319">
                  <c:v>87</c:v>
                </c:pt>
                <c:pt idx="320">
                  <c:v>41.41</c:v>
                </c:pt>
                <c:pt idx="321">
                  <c:v>31.41</c:v>
                </c:pt>
                <c:pt idx="322">
                  <c:v>87.51</c:v>
                </c:pt>
                <c:pt idx="323">
                  <c:v>48.35</c:v>
                </c:pt>
                <c:pt idx="324">
                  <c:v>65.989999999999995</c:v>
                </c:pt>
                <c:pt idx="325">
                  <c:v>26.65</c:v>
                </c:pt>
                <c:pt idx="326">
                  <c:v>12.3</c:v>
                </c:pt>
                <c:pt idx="327">
                  <c:v>59.4</c:v>
                </c:pt>
                <c:pt idx="328">
                  <c:v>28.54</c:v>
                </c:pt>
                <c:pt idx="329">
                  <c:v>39.94</c:v>
                </c:pt>
                <c:pt idx="330">
                  <c:v>69.010000000000005</c:v>
                </c:pt>
                <c:pt idx="331">
                  <c:v>78.510000000000005</c:v>
                </c:pt>
                <c:pt idx="332">
                  <c:v>89.74</c:v>
                </c:pt>
                <c:pt idx="333">
                  <c:v>25.19</c:v>
                </c:pt>
                <c:pt idx="334">
                  <c:v>77.83</c:v>
                </c:pt>
                <c:pt idx="335">
                  <c:v>56.82</c:v>
                </c:pt>
                <c:pt idx="336">
                  <c:v>21.15</c:v>
                </c:pt>
                <c:pt idx="337">
                  <c:v>16.97</c:v>
                </c:pt>
                <c:pt idx="338">
                  <c:v>19.510000000000002</c:v>
                </c:pt>
                <c:pt idx="339">
                  <c:v>29.38</c:v>
                </c:pt>
                <c:pt idx="340">
                  <c:v>43.96</c:v>
                </c:pt>
                <c:pt idx="341">
                  <c:v>83.03</c:v>
                </c:pt>
                <c:pt idx="342">
                  <c:v>41.77</c:v>
                </c:pt>
                <c:pt idx="343">
                  <c:v>61.65</c:v>
                </c:pt>
                <c:pt idx="344">
                  <c:v>11.75</c:v>
                </c:pt>
                <c:pt idx="345">
                  <c:v>17.239999999999998</c:v>
                </c:pt>
                <c:pt idx="346">
                  <c:v>76.31</c:v>
                </c:pt>
                <c:pt idx="347">
                  <c:v>21.67</c:v>
                </c:pt>
                <c:pt idx="348">
                  <c:v>12.48</c:v>
                </c:pt>
                <c:pt idx="349">
                  <c:v>71.37</c:v>
                </c:pt>
                <c:pt idx="350">
                  <c:v>26.3</c:v>
                </c:pt>
                <c:pt idx="351">
                  <c:v>45.18</c:v>
                </c:pt>
                <c:pt idx="352">
                  <c:v>36.51</c:v>
                </c:pt>
                <c:pt idx="353">
                  <c:v>47.51</c:v>
                </c:pt>
                <c:pt idx="354">
                  <c:v>54.18</c:v>
                </c:pt>
                <c:pt idx="355">
                  <c:v>28.35</c:v>
                </c:pt>
                <c:pt idx="356">
                  <c:v>79.260000000000005</c:v>
                </c:pt>
                <c:pt idx="357">
                  <c:v>17.82</c:v>
                </c:pt>
                <c:pt idx="358">
                  <c:v>27.44</c:v>
                </c:pt>
                <c:pt idx="359">
                  <c:v>21.02</c:v>
                </c:pt>
                <c:pt idx="360">
                  <c:v>69.349999999999994</c:v>
                </c:pt>
                <c:pt idx="361">
                  <c:v>62.24</c:v>
                </c:pt>
                <c:pt idx="362">
                  <c:v>18.62</c:v>
                </c:pt>
                <c:pt idx="363">
                  <c:v>48.8</c:v>
                </c:pt>
                <c:pt idx="364">
                  <c:v>79.84</c:v>
                </c:pt>
                <c:pt idx="365">
                  <c:v>43.12</c:v>
                </c:pt>
                <c:pt idx="366">
                  <c:v>20.91</c:v>
                </c:pt>
                <c:pt idx="367">
                  <c:v>53.48</c:v>
                </c:pt>
                <c:pt idx="368">
                  <c:v>17.829999999999998</c:v>
                </c:pt>
                <c:pt idx="369">
                  <c:v>84.81</c:v>
                </c:pt>
                <c:pt idx="370">
                  <c:v>56.45</c:v>
                </c:pt>
                <c:pt idx="371">
                  <c:v>22.35</c:v>
                </c:pt>
                <c:pt idx="372">
                  <c:v>69.930000000000007</c:v>
                </c:pt>
                <c:pt idx="373">
                  <c:v>80.61</c:v>
                </c:pt>
                <c:pt idx="374">
                  <c:v>78.150000000000006</c:v>
                </c:pt>
                <c:pt idx="375">
                  <c:v>34.83</c:v>
                </c:pt>
                <c:pt idx="376">
                  <c:v>27.6</c:v>
                </c:pt>
                <c:pt idx="377">
                  <c:v>35.79</c:v>
                </c:pt>
                <c:pt idx="378">
                  <c:v>53.68</c:v>
                </c:pt>
                <c:pt idx="379">
                  <c:v>45.88</c:v>
                </c:pt>
                <c:pt idx="380">
                  <c:v>53.45</c:v>
                </c:pt>
                <c:pt idx="381">
                  <c:v>66.489999999999995</c:v>
                </c:pt>
                <c:pt idx="382">
                  <c:v>81.83</c:v>
                </c:pt>
                <c:pt idx="383">
                  <c:v>53.6</c:v>
                </c:pt>
                <c:pt idx="384">
                  <c:v>37.979999999999997</c:v>
                </c:pt>
                <c:pt idx="385">
                  <c:v>74.709999999999994</c:v>
                </c:pt>
                <c:pt idx="386">
                  <c:v>84.23</c:v>
                </c:pt>
                <c:pt idx="387">
                  <c:v>68.78</c:v>
                </c:pt>
                <c:pt idx="388">
                  <c:v>66.73</c:v>
                </c:pt>
                <c:pt idx="389">
                  <c:v>31.33</c:v>
                </c:pt>
                <c:pt idx="390">
                  <c:v>85.34</c:v>
                </c:pt>
                <c:pt idx="391">
                  <c:v>51.89</c:v>
                </c:pt>
                <c:pt idx="392">
                  <c:v>54.82</c:v>
                </c:pt>
                <c:pt idx="393">
                  <c:v>23.79</c:v>
                </c:pt>
                <c:pt idx="394">
                  <c:v>46.23</c:v>
                </c:pt>
                <c:pt idx="395">
                  <c:v>88.65</c:v>
                </c:pt>
                <c:pt idx="396">
                  <c:v>80.92</c:v>
                </c:pt>
                <c:pt idx="397">
                  <c:v>87.27</c:v>
                </c:pt>
                <c:pt idx="398">
                  <c:v>74.25</c:v>
                </c:pt>
                <c:pt idx="399">
                  <c:v>46.31</c:v>
                </c:pt>
                <c:pt idx="400">
                  <c:v>21.46</c:v>
                </c:pt>
                <c:pt idx="401">
                  <c:v>49.17</c:v>
                </c:pt>
                <c:pt idx="402">
                  <c:v>64.239999999999995</c:v>
                </c:pt>
                <c:pt idx="403">
                  <c:v>30.26</c:v>
                </c:pt>
                <c:pt idx="404">
                  <c:v>46.87</c:v>
                </c:pt>
                <c:pt idx="405">
                  <c:v>87.63</c:v>
                </c:pt>
                <c:pt idx="406">
                  <c:v>81.33</c:v>
                </c:pt>
                <c:pt idx="407">
                  <c:v>57.14</c:v>
                </c:pt>
                <c:pt idx="408">
                  <c:v>56.19</c:v>
                </c:pt>
                <c:pt idx="409">
                  <c:v>56.73</c:v>
                </c:pt>
                <c:pt idx="410">
                  <c:v>62.72</c:v>
                </c:pt>
                <c:pt idx="411">
                  <c:v>19.66</c:v>
                </c:pt>
                <c:pt idx="412">
                  <c:v>88.11</c:v>
                </c:pt>
                <c:pt idx="413">
                  <c:v>52.71</c:v>
                </c:pt>
                <c:pt idx="414">
                  <c:v>66.06</c:v>
                </c:pt>
                <c:pt idx="415">
                  <c:v>39.729999999999997</c:v>
                </c:pt>
                <c:pt idx="416">
                  <c:v>15.72</c:v>
                </c:pt>
                <c:pt idx="417">
                  <c:v>14.05</c:v>
                </c:pt>
                <c:pt idx="418">
                  <c:v>43.44</c:v>
                </c:pt>
                <c:pt idx="419">
                  <c:v>62.16</c:v>
                </c:pt>
                <c:pt idx="420">
                  <c:v>26.67</c:v>
                </c:pt>
                <c:pt idx="421">
                  <c:v>46.72</c:v>
                </c:pt>
                <c:pt idx="422">
                  <c:v>78.31</c:v>
                </c:pt>
                <c:pt idx="423">
                  <c:v>85.2</c:v>
                </c:pt>
                <c:pt idx="424">
                  <c:v>21</c:v>
                </c:pt>
                <c:pt idx="425">
                  <c:v>54.73</c:v>
                </c:pt>
                <c:pt idx="426">
                  <c:v>49.46</c:v>
                </c:pt>
                <c:pt idx="427">
                  <c:v>57.57</c:v>
                </c:pt>
                <c:pt idx="428">
                  <c:v>48.71</c:v>
                </c:pt>
                <c:pt idx="429">
                  <c:v>20.14</c:v>
                </c:pt>
                <c:pt idx="430">
                  <c:v>80.739999999999995</c:v>
                </c:pt>
                <c:pt idx="431">
                  <c:v>13.15</c:v>
                </c:pt>
                <c:pt idx="432">
                  <c:v>15.42</c:v>
                </c:pt>
                <c:pt idx="433">
                  <c:v>75.02</c:v>
                </c:pt>
                <c:pt idx="434">
                  <c:v>46.76</c:v>
                </c:pt>
                <c:pt idx="435">
                  <c:v>84.12</c:v>
                </c:pt>
                <c:pt idx="436">
                  <c:v>47.1</c:v>
                </c:pt>
                <c:pt idx="437">
                  <c:v>88.96</c:v>
                </c:pt>
                <c:pt idx="438">
                  <c:v>42.02</c:v>
                </c:pt>
                <c:pt idx="439">
                  <c:v>25.67</c:v>
                </c:pt>
                <c:pt idx="440">
                  <c:v>24.54</c:v>
                </c:pt>
                <c:pt idx="441">
                  <c:v>17.23</c:v>
                </c:pt>
                <c:pt idx="442">
                  <c:v>33.44</c:v>
                </c:pt>
                <c:pt idx="443">
                  <c:v>87.98</c:v>
                </c:pt>
                <c:pt idx="444">
                  <c:v>29.72</c:v>
                </c:pt>
                <c:pt idx="445">
                  <c:v>62.22</c:v>
                </c:pt>
                <c:pt idx="446">
                  <c:v>14.98</c:v>
                </c:pt>
                <c:pt idx="447">
                  <c:v>26.68</c:v>
                </c:pt>
                <c:pt idx="448">
                  <c:v>87.53</c:v>
                </c:pt>
                <c:pt idx="449">
                  <c:v>68.87</c:v>
                </c:pt>
                <c:pt idx="450">
                  <c:v>76.95</c:v>
                </c:pt>
                <c:pt idx="451">
                  <c:v>25.65</c:v>
                </c:pt>
                <c:pt idx="452">
                  <c:v>33.270000000000003</c:v>
                </c:pt>
                <c:pt idx="453">
                  <c:v>63.44</c:v>
                </c:pt>
                <c:pt idx="454">
                  <c:v>79.03</c:v>
                </c:pt>
                <c:pt idx="455">
                  <c:v>29.73</c:v>
                </c:pt>
                <c:pt idx="456">
                  <c:v>48.18</c:v>
                </c:pt>
                <c:pt idx="457">
                  <c:v>61.3</c:v>
                </c:pt>
                <c:pt idx="458">
                  <c:v>18.73</c:v>
                </c:pt>
                <c:pt idx="459">
                  <c:v>86.86</c:v>
                </c:pt>
                <c:pt idx="460">
                  <c:v>65.73</c:v>
                </c:pt>
                <c:pt idx="461">
                  <c:v>14.19</c:v>
                </c:pt>
                <c:pt idx="462">
                  <c:v>55.01</c:v>
                </c:pt>
                <c:pt idx="463">
                  <c:v>60.09</c:v>
                </c:pt>
                <c:pt idx="464">
                  <c:v>12.62</c:v>
                </c:pt>
                <c:pt idx="465">
                  <c:v>16.25</c:v>
                </c:pt>
                <c:pt idx="466">
                  <c:v>76.69</c:v>
                </c:pt>
                <c:pt idx="467">
                  <c:v>85.79</c:v>
                </c:pt>
                <c:pt idx="468">
                  <c:v>58.94</c:v>
                </c:pt>
                <c:pt idx="469">
                  <c:v>62.87</c:v>
                </c:pt>
                <c:pt idx="470">
                  <c:v>54.08</c:v>
                </c:pt>
                <c:pt idx="471">
                  <c:v>29.43</c:v>
                </c:pt>
                <c:pt idx="472">
                  <c:v>72.02</c:v>
                </c:pt>
                <c:pt idx="473">
                  <c:v>87.86</c:v>
                </c:pt>
                <c:pt idx="474">
                  <c:v>89.45</c:v>
                </c:pt>
                <c:pt idx="475">
                  <c:v>57.5</c:v>
                </c:pt>
                <c:pt idx="476">
                  <c:v>12.1</c:v>
                </c:pt>
                <c:pt idx="477">
                  <c:v>85.34</c:v>
                </c:pt>
                <c:pt idx="478">
                  <c:v>32.380000000000003</c:v>
                </c:pt>
                <c:pt idx="479">
                  <c:v>40.409999999999997</c:v>
                </c:pt>
                <c:pt idx="480">
                  <c:v>82.38</c:v>
                </c:pt>
                <c:pt idx="481">
                  <c:v>10.66</c:v>
                </c:pt>
                <c:pt idx="482">
                  <c:v>32.53</c:v>
                </c:pt>
                <c:pt idx="483">
                  <c:v>68.97</c:v>
                </c:pt>
                <c:pt idx="484">
                  <c:v>88.85</c:v>
                </c:pt>
                <c:pt idx="485">
                  <c:v>28.82</c:v>
                </c:pt>
                <c:pt idx="486">
                  <c:v>76.59</c:v>
                </c:pt>
                <c:pt idx="487">
                  <c:v>51.29</c:v>
                </c:pt>
                <c:pt idx="488">
                  <c:v>76.099999999999994</c:v>
                </c:pt>
                <c:pt idx="489">
                  <c:v>61.98</c:v>
                </c:pt>
                <c:pt idx="490">
                  <c:v>48.12</c:v>
                </c:pt>
                <c:pt idx="491">
                  <c:v>89.7</c:v>
                </c:pt>
                <c:pt idx="492">
                  <c:v>37.15</c:v>
                </c:pt>
                <c:pt idx="493">
                  <c:v>84.9</c:v>
                </c:pt>
                <c:pt idx="494">
                  <c:v>78.36</c:v>
                </c:pt>
                <c:pt idx="495">
                  <c:v>42.72</c:v>
                </c:pt>
                <c:pt idx="496">
                  <c:v>79.540000000000006</c:v>
                </c:pt>
                <c:pt idx="497">
                  <c:v>32.78</c:v>
                </c:pt>
                <c:pt idx="498">
                  <c:v>23.17</c:v>
                </c:pt>
                <c:pt idx="499">
                  <c:v>40.700000000000003</c:v>
                </c:pt>
                <c:pt idx="500">
                  <c:v>25.26</c:v>
                </c:pt>
                <c:pt idx="501">
                  <c:v>61.61</c:v>
                </c:pt>
                <c:pt idx="502">
                  <c:v>79.150000000000006</c:v>
                </c:pt>
                <c:pt idx="503">
                  <c:v>87.27</c:v>
                </c:pt>
                <c:pt idx="504">
                  <c:v>47.43</c:v>
                </c:pt>
                <c:pt idx="505">
                  <c:v>10.38</c:v>
                </c:pt>
                <c:pt idx="506">
                  <c:v>13.91</c:v>
                </c:pt>
                <c:pt idx="507">
                  <c:v>64.14</c:v>
                </c:pt>
                <c:pt idx="508">
                  <c:v>76.73</c:v>
                </c:pt>
                <c:pt idx="509">
                  <c:v>23.25</c:v>
                </c:pt>
                <c:pt idx="510">
                  <c:v>40.880000000000003</c:v>
                </c:pt>
                <c:pt idx="511">
                  <c:v>81.569999999999993</c:v>
                </c:pt>
                <c:pt idx="512">
                  <c:v>10.199999999999999</c:v>
                </c:pt>
                <c:pt idx="513">
                  <c:v>44.35</c:v>
                </c:pt>
                <c:pt idx="514">
                  <c:v>18.86</c:v>
                </c:pt>
                <c:pt idx="515">
                  <c:v>87.16</c:v>
                </c:pt>
                <c:pt idx="516">
                  <c:v>52.36</c:v>
                </c:pt>
                <c:pt idx="517">
                  <c:v>85.29</c:v>
                </c:pt>
                <c:pt idx="518">
                  <c:v>43.53</c:v>
                </c:pt>
                <c:pt idx="519">
                  <c:v>15.98</c:v>
                </c:pt>
                <c:pt idx="520">
                  <c:v>64.27</c:v>
                </c:pt>
                <c:pt idx="521">
                  <c:v>63.91</c:v>
                </c:pt>
                <c:pt idx="522">
                  <c:v>70.95</c:v>
                </c:pt>
                <c:pt idx="523">
                  <c:v>13.05</c:v>
                </c:pt>
                <c:pt idx="524">
                  <c:v>16.489999999999998</c:v>
                </c:pt>
                <c:pt idx="525">
                  <c:v>66.680000000000007</c:v>
                </c:pt>
                <c:pt idx="526">
                  <c:v>73.97</c:v>
                </c:pt>
                <c:pt idx="527">
                  <c:v>71.819999999999993</c:v>
                </c:pt>
                <c:pt idx="528">
                  <c:v>32.04</c:v>
                </c:pt>
                <c:pt idx="529">
                  <c:v>73.239999999999995</c:v>
                </c:pt>
                <c:pt idx="530">
                  <c:v>41.5</c:v>
                </c:pt>
                <c:pt idx="531">
                  <c:v>66.91</c:v>
                </c:pt>
                <c:pt idx="532">
                  <c:v>30.46</c:v>
                </c:pt>
                <c:pt idx="533">
                  <c:v>46.38</c:v>
                </c:pt>
                <c:pt idx="534">
                  <c:v>33.909999999999997</c:v>
                </c:pt>
                <c:pt idx="535">
                  <c:v>47.74</c:v>
                </c:pt>
                <c:pt idx="536">
                  <c:v>61.58</c:v>
                </c:pt>
                <c:pt idx="537">
                  <c:v>60.06</c:v>
                </c:pt>
                <c:pt idx="538">
                  <c:v>37.369999999999997</c:v>
                </c:pt>
                <c:pt idx="539">
                  <c:v>28.52</c:v>
                </c:pt>
                <c:pt idx="540">
                  <c:v>44.24</c:v>
                </c:pt>
                <c:pt idx="541">
                  <c:v>22.93</c:v>
                </c:pt>
                <c:pt idx="542">
                  <c:v>81.2</c:v>
                </c:pt>
                <c:pt idx="543">
                  <c:v>88.59</c:v>
                </c:pt>
                <c:pt idx="544">
                  <c:v>58.3</c:v>
                </c:pt>
                <c:pt idx="545">
                  <c:v>77.150000000000006</c:v>
                </c:pt>
                <c:pt idx="546">
                  <c:v>47.89</c:v>
                </c:pt>
                <c:pt idx="547">
                  <c:v>69.25</c:v>
                </c:pt>
                <c:pt idx="548">
                  <c:v>66.09</c:v>
                </c:pt>
                <c:pt idx="549">
                  <c:v>43.98</c:v>
                </c:pt>
                <c:pt idx="550">
                  <c:v>66.86</c:v>
                </c:pt>
                <c:pt idx="551">
                  <c:v>85.84</c:v>
                </c:pt>
                <c:pt idx="552">
                  <c:v>70.91</c:v>
                </c:pt>
                <c:pt idx="553">
                  <c:v>32.08</c:v>
                </c:pt>
                <c:pt idx="554">
                  <c:v>77.12</c:v>
                </c:pt>
                <c:pt idx="555">
                  <c:v>41.87</c:v>
                </c:pt>
                <c:pt idx="556">
                  <c:v>28.48</c:v>
                </c:pt>
                <c:pt idx="557">
                  <c:v>55.27</c:v>
                </c:pt>
                <c:pt idx="558">
                  <c:v>54.39</c:v>
                </c:pt>
                <c:pt idx="559">
                  <c:v>27.04</c:v>
                </c:pt>
                <c:pt idx="560">
                  <c:v>59.78</c:v>
                </c:pt>
                <c:pt idx="561">
                  <c:v>74.5</c:v>
                </c:pt>
                <c:pt idx="562">
                  <c:v>31.38</c:v>
                </c:pt>
                <c:pt idx="563">
                  <c:v>79.98</c:v>
                </c:pt>
                <c:pt idx="564">
                  <c:v>44.21</c:v>
                </c:pt>
                <c:pt idx="565">
                  <c:v>47.71</c:v>
                </c:pt>
                <c:pt idx="566">
                  <c:v>78.930000000000007</c:v>
                </c:pt>
                <c:pt idx="567">
                  <c:v>32.44</c:v>
                </c:pt>
                <c:pt idx="568">
                  <c:v>20.76</c:v>
                </c:pt>
                <c:pt idx="569">
                  <c:v>21.72</c:v>
                </c:pt>
                <c:pt idx="570">
                  <c:v>32.14</c:v>
                </c:pt>
                <c:pt idx="571">
                  <c:v>14.01</c:v>
                </c:pt>
                <c:pt idx="572">
                  <c:v>58.55</c:v>
                </c:pt>
                <c:pt idx="573">
                  <c:v>83.26</c:v>
                </c:pt>
                <c:pt idx="574">
                  <c:v>34.76</c:v>
                </c:pt>
                <c:pt idx="575">
                  <c:v>59.32</c:v>
                </c:pt>
                <c:pt idx="576">
                  <c:v>61.69</c:v>
                </c:pt>
                <c:pt idx="577">
                  <c:v>50.32</c:v>
                </c:pt>
                <c:pt idx="578">
                  <c:v>14.39</c:v>
                </c:pt>
                <c:pt idx="579">
                  <c:v>56.75</c:v>
                </c:pt>
                <c:pt idx="580">
                  <c:v>79.16</c:v>
                </c:pt>
                <c:pt idx="581">
                  <c:v>82.95</c:v>
                </c:pt>
                <c:pt idx="582">
                  <c:v>40.14</c:v>
                </c:pt>
                <c:pt idx="583">
                  <c:v>87.88</c:v>
                </c:pt>
                <c:pt idx="584">
                  <c:v>62.11</c:v>
                </c:pt>
                <c:pt idx="585">
                  <c:v>53.51</c:v>
                </c:pt>
                <c:pt idx="586">
                  <c:v>34.299999999999997</c:v>
                </c:pt>
                <c:pt idx="587">
                  <c:v>50.06</c:v>
                </c:pt>
                <c:pt idx="588">
                  <c:v>30.14</c:v>
                </c:pt>
                <c:pt idx="589">
                  <c:v>85.44</c:v>
                </c:pt>
                <c:pt idx="590">
                  <c:v>64.849999999999994</c:v>
                </c:pt>
                <c:pt idx="591">
                  <c:v>65.78</c:v>
                </c:pt>
                <c:pt idx="592">
                  <c:v>19.55</c:v>
                </c:pt>
                <c:pt idx="593">
                  <c:v>71.260000000000005</c:v>
                </c:pt>
                <c:pt idx="594">
                  <c:v>74.25</c:v>
                </c:pt>
                <c:pt idx="595">
                  <c:v>52</c:v>
                </c:pt>
                <c:pt idx="596">
                  <c:v>34.72</c:v>
                </c:pt>
                <c:pt idx="597">
                  <c:v>53.11</c:v>
                </c:pt>
                <c:pt idx="598">
                  <c:v>13.48</c:v>
                </c:pt>
                <c:pt idx="599">
                  <c:v>69.150000000000006</c:v>
                </c:pt>
                <c:pt idx="600">
                  <c:v>10.68</c:v>
                </c:pt>
                <c:pt idx="601">
                  <c:v>75.38</c:v>
                </c:pt>
                <c:pt idx="602">
                  <c:v>67.010000000000005</c:v>
                </c:pt>
                <c:pt idx="603">
                  <c:v>13.2</c:v>
                </c:pt>
                <c:pt idx="604">
                  <c:v>88.7</c:v>
                </c:pt>
                <c:pt idx="605">
                  <c:v>75.3</c:v>
                </c:pt>
                <c:pt idx="606">
                  <c:v>54.64</c:v>
                </c:pt>
                <c:pt idx="607">
                  <c:v>73.59</c:v>
                </c:pt>
                <c:pt idx="608">
                  <c:v>64.459999999999994</c:v>
                </c:pt>
                <c:pt idx="609">
                  <c:v>62.58</c:v>
                </c:pt>
                <c:pt idx="610">
                  <c:v>59.81</c:v>
                </c:pt>
                <c:pt idx="611">
                  <c:v>19.38</c:v>
                </c:pt>
                <c:pt idx="612">
                  <c:v>15.54</c:v>
                </c:pt>
                <c:pt idx="613">
                  <c:v>66.150000000000006</c:v>
                </c:pt>
                <c:pt idx="614">
                  <c:v>82.81</c:v>
                </c:pt>
                <c:pt idx="615">
                  <c:v>63.03</c:v>
                </c:pt>
                <c:pt idx="616">
                  <c:v>11.72</c:v>
                </c:pt>
                <c:pt idx="617">
                  <c:v>35.869999999999997</c:v>
                </c:pt>
                <c:pt idx="618">
                  <c:v>47.97</c:v>
                </c:pt>
                <c:pt idx="619">
                  <c:v>75.83</c:v>
                </c:pt>
                <c:pt idx="620">
                  <c:v>53.97</c:v>
                </c:pt>
                <c:pt idx="621">
                  <c:v>31.93</c:v>
                </c:pt>
                <c:pt idx="622">
                  <c:v>72.19</c:v>
                </c:pt>
                <c:pt idx="623">
                  <c:v>64.3</c:v>
                </c:pt>
                <c:pt idx="624">
                  <c:v>78.459999999999994</c:v>
                </c:pt>
                <c:pt idx="625">
                  <c:v>10.61</c:v>
                </c:pt>
                <c:pt idx="626">
                  <c:v>13.77</c:v>
                </c:pt>
                <c:pt idx="627">
                  <c:v>77.34</c:v>
                </c:pt>
                <c:pt idx="628">
                  <c:v>60.23</c:v>
                </c:pt>
                <c:pt idx="629">
                  <c:v>63.1</c:v>
                </c:pt>
                <c:pt idx="630">
                  <c:v>29.82</c:v>
                </c:pt>
                <c:pt idx="631">
                  <c:v>30.23</c:v>
                </c:pt>
                <c:pt idx="632">
                  <c:v>83.8</c:v>
                </c:pt>
                <c:pt idx="633">
                  <c:v>34.33</c:v>
                </c:pt>
                <c:pt idx="634">
                  <c:v>74.209999999999994</c:v>
                </c:pt>
                <c:pt idx="635">
                  <c:v>47.73</c:v>
                </c:pt>
                <c:pt idx="636">
                  <c:v>37.15</c:v>
                </c:pt>
                <c:pt idx="637">
                  <c:v>37.630000000000003</c:v>
                </c:pt>
                <c:pt idx="638">
                  <c:v>67.7</c:v>
                </c:pt>
                <c:pt idx="639">
                  <c:v>30.82</c:v>
                </c:pt>
                <c:pt idx="640">
                  <c:v>59.2</c:v>
                </c:pt>
                <c:pt idx="641">
                  <c:v>50.39</c:v>
                </c:pt>
                <c:pt idx="642">
                  <c:v>78.23</c:v>
                </c:pt>
                <c:pt idx="643">
                  <c:v>18.66</c:v>
                </c:pt>
                <c:pt idx="644">
                  <c:v>38.549999999999997</c:v>
                </c:pt>
                <c:pt idx="645">
                  <c:v>83.75</c:v>
                </c:pt>
                <c:pt idx="646">
                  <c:v>64.489999999999995</c:v>
                </c:pt>
                <c:pt idx="647">
                  <c:v>30.14</c:v>
                </c:pt>
                <c:pt idx="648">
                  <c:v>60.15</c:v>
                </c:pt>
                <c:pt idx="649">
                  <c:v>63.23</c:v>
                </c:pt>
                <c:pt idx="650">
                  <c:v>22.6</c:v>
                </c:pt>
                <c:pt idx="651">
                  <c:v>47.89</c:v>
                </c:pt>
                <c:pt idx="652">
                  <c:v>25.39</c:v>
                </c:pt>
                <c:pt idx="653">
                  <c:v>16.96</c:v>
                </c:pt>
                <c:pt idx="654">
                  <c:v>69.010000000000005</c:v>
                </c:pt>
                <c:pt idx="655">
                  <c:v>36.01</c:v>
                </c:pt>
                <c:pt idx="656">
                  <c:v>81.98</c:v>
                </c:pt>
                <c:pt idx="657">
                  <c:v>56.31</c:v>
                </c:pt>
                <c:pt idx="658">
                  <c:v>65.36</c:v>
                </c:pt>
                <c:pt idx="659">
                  <c:v>59.77</c:v>
                </c:pt>
                <c:pt idx="660">
                  <c:v>74.459999999999994</c:v>
                </c:pt>
                <c:pt idx="661">
                  <c:v>44.85</c:v>
                </c:pt>
                <c:pt idx="662">
                  <c:v>32.76</c:v>
                </c:pt>
                <c:pt idx="663">
                  <c:v>18.239999999999998</c:v>
                </c:pt>
                <c:pt idx="664">
                  <c:v>55.14</c:v>
                </c:pt>
                <c:pt idx="665">
                  <c:v>76.06</c:v>
                </c:pt>
                <c:pt idx="666">
                  <c:v>17.940000000000001</c:v>
                </c:pt>
                <c:pt idx="667">
                  <c:v>46.36</c:v>
                </c:pt>
                <c:pt idx="668">
                  <c:v>21.19</c:v>
                </c:pt>
                <c:pt idx="669">
                  <c:v>88.32</c:v>
                </c:pt>
                <c:pt idx="670">
                  <c:v>16.93</c:v>
                </c:pt>
                <c:pt idx="671">
                  <c:v>40.92</c:v>
                </c:pt>
                <c:pt idx="672">
                  <c:v>65.5</c:v>
                </c:pt>
                <c:pt idx="673">
                  <c:v>41.34</c:v>
                </c:pt>
                <c:pt idx="674">
                  <c:v>49.31</c:v>
                </c:pt>
                <c:pt idx="675">
                  <c:v>82.66</c:v>
                </c:pt>
                <c:pt idx="676">
                  <c:v>68.03</c:v>
                </c:pt>
                <c:pt idx="677">
                  <c:v>64.44</c:v>
                </c:pt>
                <c:pt idx="678">
                  <c:v>29.98</c:v>
                </c:pt>
                <c:pt idx="679">
                  <c:v>57.43</c:v>
                </c:pt>
                <c:pt idx="680">
                  <c:v>25.12</c:v>
                </c:pt>
                <c:pt idx="681">
                  <c:v>14.45</c:v>
                </c:pt>
                <c:pt idx="682">
                  <c:v>55.75</c:v>
                </c:pt>
                <c:pt idx="683">
                  <c:v>47</c:v>
                </c:pt>
                <c:pt idx="684">
                  <c:v>10.65</c:v>
                </c:pt>
                <c:pt idx="685">
                  <c:v>22.43</c:v>
                </c:pt>
                <c:pt idx="686">
                  <c:v>75.37</c:v>
                </c:pt>
                <c:pt idx="687">
                  <c:v>74.37</c:v>
                </c:pt>
                <c:pt idx="688">
                  <c:v>31.92</c:v>
                </c:pt>
                <c:pt idx="689">
                  <c:v>28.31</c:v>
                </c:pt>
                <c:pt idx="690">
                  <c:v>27.48</c:v>
                </c:pt>
                <c:pt idx="691">
                  <c:v>22.57</c:v>
                </c:pt>
                <c:pt idx="692">
                  <c:v>70.709999999999994</c:v>
                </c:pt>
                <c:pt idx="693">
                  <c:v>88.55</c:v>
                </c:pt>
                <c:pt idx="694">
                  <c:v>82.11</c:v>
                </c:pt>
                <c:pt idx="695">
                  <c:v>16.899999999999999</c:v>
                </c:pt>
                <c:pt idx="696">
                  <c:v>41.22</c:v>
                </c:pt>
                <c:pt idx="697">
                  <c:v>89.75</c:v>
                </c:pt>
                <c:pt idx="698">
                  <c:v>15.9</c:v>
                </c:pt>
                <c:pt idx="699">
                  <c:v>43.81</c:v>
                </c:pt>
                <c:pt idx="700">
                  <c:v>76.14</c:v>
                </c:pt>
                <c:pt idx="701">
                  <c:v>20.43</c:v>
                </c:pt>
                <c:pt idx="702">
                  <c:v>79.650000000000006</c:v>
                </c:pt>
                <c:pt idx="703">
                  <c:v>20.87</c:v>
                </c:pt>
                <c:pt idx="704">
                  <c:v>87.96</c:v>
                </c:pt>
                <c:pt idx="705">
                  <c:v>56.46</c:v>
                </c:pt>
                <c:pt idx="706">
                  <c:v>41.94</c:v>
                </c:pt>
                <c:pt idx="707">
                  <c:v>31.48</c:v>
                </c:pt>
                <c:pt idx="708">
                  <c:v>61.7</c:v>
                </c:pt>
                <c:pt idx="709">
                  <c:v>65.69</c:v>
                </c:pt>
                <c:pt idx="710">
                  <c:v>16.62</c:v>
                </c:pt>
                <c:pt idx="711">
                  <c:v>58.51</c:v>
                </c:pt>
                <c:pt idx="712">
                  <c:v>73.989999999999995</c:v>
                </c:pt>
                <c:pt idx="713">
                  <c:v>26.61</c:v>
                </c:pt>
                <c:pt idx="714">
                  <c:v>16.8</c:v>
                </c:pt>
                <c:pt idx="715">
                  <c:v>34.17</c:v>
                </c:pt>
                <c:pt idx="716">
                  <c:v>45.38</c:v>
                </c:pt>
                <c:pt idx="717">
                  <c:v>68.38</c:v>
                </c:pt>
                <c:pt idx="718">
                  <c:v>63.65</c:v>
                </c:pt>
                <c:pt idx="719">
                  <c:v>31.96</c:v>
                </c:pt>
                <c:pt idx="720">
                  <c:v>23.59</c:v>
                </c:pt>
                <c:pt idx="721">
                  <c:v>38.549999999999997</c:v>
                </c:pt>
                <c:pt idx="722">
                  <c:v>52.92</c:v>
                </c:pt>
                <c:pt idx="723">
                  <c:v>71.87</c:v>
                </c:pt>
                <c:pt idx="724">
                  <c:v>61.18</c:v>
                </c:pt>
                <c:pt idx="725">
                  <c:v>83.87</c:v>
                </c:pt>
                <c:pt idx="726">
                  <c:v>41.58</c:v>
                </c:pt>
                <c:pt idx="727">
                  <c:v>42.14</c:v>
                </c:pt>
                <c:pt idx="728">
                  <c:v>86.41</c:v>
                </c:pt>
                <c:pt idx="729">
                  <c:v>23.1</c:v>
                </c:pt>
                <c:pt idx="730">
                  <c:v>55.97</c:v>
                </c:pt>
                <c:pt idx="731">
                  <c:v>47.8</c:v>
                </c:pt>
                <c:pt idx="732">
                  <c:v>32.1</c:v>
                </c:pt>
                <c:pt idx="733">
                  <c:v>51.28</c:v>
                </c:pt>
                <c:pt idx="734">
                  <c:v>34.72</c:v>
                </c:pt>
                <c:pt idx="735">
                  <c:v>35.28</c:v>
                </c:pt>
                <c:pt idx="736">
                  <c:v>27.11</c:v>
                </c:pt>
                <c:pt idx="737">
                  <c:v>37.01</c:v>
                </c:pt>
                <c:pt idx="738">
                  <c:v>72.709999999999994</c:v>
                </c:pt>
                <c:pt idx="739">
                  <c:v>81.790000000000006</c:v>
                </c:pt>
                <c:pt idx="740">
                  <c:v>86.17</c:v>
                </c:pt>
                <c:pt idx="741">
                  <c:v>50.19</c:v>
                </c:pt>
                <c:pt idx="742">
                  <c:v>77.489999999999995</c:v>
                </c:pt>
                <c:pt idx="743">
                  <c:v>19.649999999999999</c:v>
                </c:pt>
                <c:pt idx="744">
                  <c:v>16.579999999999998</c:v>
                </c:pt>
                <c:pt idx="745">
                  <c:v>84.18</c:v>
                </c:pt>
                <c:pt idx="746">
                  <c:v>10.55</c:v>
                </c:pt>
                <c:pt idx="747">
                  <c:v>50.18</c:v>
                </c:pt>
                <c:pt idx="748">
                  <c:v>60.61</c:v>
                </c:pt>
                <c:pt idx="749">
                  <c:v>44.92</c:v>
                </c:pt>
                <c:pt idx="750">
                  <c:v>33.35</c:v>
                </c:pt>
                <c:pt idx="751">
                  <c:v>24.22</c:v>
                </c:pt>
                <c:pt idx="752">
                  <c:v>86.2</c:v>
                </c:pt>
                <c:pt idx="753">
                  <c:v>58.88</c:v>
                </c:pt>
                <c:pt idx="754">
                  <c:v>29.51</c:v>
                </c:pt>
                <c:pt idx="755">
                  <c:v>89.15</c:v>
                </c:pt>
                <c:pt idx="756">
                  <c:v>67.94</c:v>
                </c:pt>
                <c:pt idx="757">
                  <c:v>38.78</c:v>
                </c:pt>
                <c:pt idx="758">
                  <c:v>26.92</c:v>
                </c:pt>
                <c:pt idx="759">
                  <c:v>35.43</c:v>
                </c:pt>
                <c:pt idx="760">
                  <c:v>69.53</c:v>
                </c:pt>
                <c:pt idx="761">
                  <c:v>17.079999999999998</c:v>
                </c:pt>
              </c:numCache>
            </c:numRef>
          </c:xVal>
          <c:yVal>
            <c:numRef>
              <c:f>Q.3!$B$2:$B$763</c:f>
              <c:numCache>
                <c:formatCode>General</c:formatCode>
                <c:ptCount val="762"/>
                <c:pt idx="0">
                  <c:v>37.75</c:v>
                </c:pt>
                <c:pt idx="1">
                  <c:v>8.73</c:v>
                </c:pt>
                <c:pt idx="2">
                  <c:v>75.12</c:v>
                </c:pt>
                <c:pt idx="3">
                  <c:v>45.91</c:v>
                </c:pt>
                <c:pt idx="4">
                  <c:v>53.98</c:v>
                </c:pt>
                <c:pt idx="5">
                  <c:v>55.35</c:v>
                </c:pt>
                <c:pt idx="6">
                  <c:v>23.09</c:v>
                </c:pt>
                <c:pt idx="7">
                  <c:v>18.579999999999998</c:v>
                </c:pt>
                <c:pt idx="8">
                  <c:v>62.1</c:v>
                </c:pt>
                <c:pt idx="9">
                  <c:v>46.14</c:v>
                </c:pt>
                <c:pt idx="10">
                  <c:v>60.28</c:v>
                </c:pt>
                <c:pt idx="11">
                  <c:v>72.64</c:v>
                </c:pt>
                <c:pt idx="12">
                  <c:v>20.12</c:v>
                </c:pt>
                <c:pt idx="13">
                  <c:v>55.65</c:v>
                </c:pt>
                <c:pt idx="14">
                  <c:v>13.84</c:v>
                </c:pt>
                <c:pt idx="15">
                  <c:v>55.09</c:v>
                </c:pt>
                <c:pt idx="16">
                  <c:v>11.02</c:v>
                </c:pt>
                <c:pt idx="17">
                  <c:v>33.229999999999997</c:v>
                </c:pt>
                <c:pt idx="18">
                  <c:v>35.520000000000003</c:v>
                </c:pt>
                <c:pt idx="19">
                  <c:v>79.98</c:v>
                </c:pt>
                <c:pt idx="20">
                  <c:v>34.700000000000003</c:v>
                </c:pt>
                <c:pt idx="21">
                  <c:v>19.829999999999998</c:v>
                </c:pt>
                <c:pt idx="22">
                  <c:v>49.88</c:v>
                </c:pt>
                <c:pt idx="23">
                  <c:v>27.92</c:v>
                </c:pt>
                <c:pt idx="24">
                  <c:v>12.25</c:v>
                </c:pt>
                <c:pt idx="25">
                  <c:v>14.4</c:v>
                </c:pt>
                <c:pt idx="26">
                  <c:v>26.29</c:v>
                </c:pt>
                <c:pt idx="27">
                  <c:v>20.99</c:v>
                </c:pt>
                <c:pt idx="28">
                  <c:v>32.51</c:v>
                </c:pt>
                <c:pt idx="29">
                  <c:v>36.69</c:v>
                </c:pt>
                <c:pt idx="30">
                  <c:v>55.56</c:v>
                </c:pt>
                <c:pt idx="31">
                  <c:v>42.1</c:v>
                </c:pt>
                <c:pt idx="32">
                  <c:v>63.7</c:v>
                </c:pt>
                <c:pt idx="33">
                  <c:v>66.16</c:v>
                </c:pt>
                <c:pt idx="34">
                  <c:v>9.42</c:v>
                </c:pt>
                <c:pt idx="35">
                  <c:v>54.47</c:v>
                </c:pt>
                <c:pt idx="36">
                  <c:v>65.55</c:v>
                </c:pt>
                <c:pt idx="37">
                  <c:v>6.65</c:v>
                </c:pt>
                <c:pt idx="38">
                  <c:v>58.45</c:v>
                </c:pt>
                <c:pt idx="39">
                  <c:v>22.71</c:v>
                </c:pt>
                <c:pt idx="40">
                  <c:v>64.62</c:v>
                </c:pt>
                <c:pt idx="41">
                  <c:v>20.09</c:v>
                </c:pt>
                <c:pt idx="42">
                  <c:v>79.12</c:v>
                </c:pt>
                <c:pt idx="43">
                  <c:v>7.06</c:v>
                </c:pt>
                <c:pt idx="44">
                  <c:v>37.729999999999997</c:v>
                </c:pt>
                <c:pt idx="45">
                  <c:v>52.91</c:v>
                </c:pt>
                <c:pt idx="46">
                  <c:v>32.93</c:v>
                </c:pt>
                <c:pt idx="47">
                  <c:v>5.51</c:v>
                </c:pt>
                <c:pt idx="48">
                  <c:v>10.41</c:v>
                </c:pt>
                <c:pt idx="49">
                  <c:v>11.5</c:v>
                </c:pt>
                <c:pt idx="50">
                  <c:v>65.77</c:v>
                </c:pt>
                <c:pt idx="51">
                  <c:v>43.93</c:v>
                </c:pt>
                <c:pt idx="52">
                  <c:v>44.99</c:v>
                </c:pt>
                <c:pt idx="53">
                  <c:v>70.8</c:v>
                </c:pt>
                <c:pt idx="54">
                  <c:v>72.680000000000007</c:v>
                </c:pt>
                <c:pt idx="55">
                  <c:v>56.83</c:v>
                </c:pt>
                <c:pt idx="56">
                  <c:v>13.73</c:v>
                </c:pt>
                <c:pt idx="57">
                  <c:v>13.44</c:v>
                </c:pt>
                <c:pt idx="58">
                  <c:v>71.03</c:v>
                </c:pt>
                <c:pt idx="59">
                  <c:v>60.35</c:v>
                </c:pt>
                <c:pt idx="60">
                  <c:v>10.74</c:v>
                </c:pt>
                <c:pt idx="61">
                  <c:v>41.93</c:v>
                </c:pt>
                <c:pt idx="62">
                  <c:v>28.63</c:v>
                </c:pt>
                <c:pt idx="63">
                  <c:v>25.43</c:v>
                </c:pt>
                <c:pt idx="64">
                  <c:v>18.93</c:v>
                </c:pt>
                <c:pt idx="65">
                  <c:v>56.49</c:v>
                </c:pt>
                <c:pt idx="66">
                  <c:v>67.73</c:v>
                </c:pt>
                <c:pt idx="67">
                  <c:v>30.94</c:v>
                </c:pt>
                <c:pt idx="68">
                  <c:v>79.06</c:v>
                </c:pt>
                <c:pt idx="69">
                  <c:v>62.25</c:v>
                </c:pt>
                <c:pt idx="70">
                  <c:v>30.63</c:v>
                </c:pt>
                <c:pt idx="71">
                  <c:v>34.06</c:v>
                </c:pt>
                <c:pt idx="72">
                  <c:v>52.23</c:v>
                </c:pt>
                <c:pt idx="73">
                  <c:v>65.650000000000006</c:v>
                </c:pt>
                <c:pt idx="74">
                  <c:v>46.19</c:v>
                </c:pt>
                <c:pt idx="75">
                  <c:v>58.01</c:v>
                </c:pt>
                <c:pt idx="76">
                  <c:v>12.58</c:v>
                </c:pt>
                <c:pt idx="77">
                  <c:v>25.88</c:v>
                </c:pt>
                <c:pt idx="78">
                  <c:v>22.33</c:v>
                </c:pt>
                <c:pt idx="79">
                  <c:v>44.09</c:v>
                </c:pt>
                <c:pt idx="80">
                  <c:v>58.16</c:v>
                </c:pt>
                <c:pt idx="81">
                  <c:v>12.1</c:v>
                </c:pt>
                <c:pt idx="82">
                  <c:v>75.569999999999993</c:v>
                </c:pt>
                <c:pt idx="83">
                  <c:v>74.61</c:v>
                </c:pt>
                <c:pt idx="84">
                  <c:v>73.73</c:v>
                </c:pt>
                <c:pt idx="85">
                  <c:v>74.010000000000005</c:v>
                </c:pt>
                <c:pt idx="86">
                  <c:v>52.97</c:v>
                </c:pt>
                <c:pt idx="87">
                  <c:v>72.430000000000007</c:v>
                </c:pt>
                <c:pt idx="88">
                  <c:v>63.8</c:v>
                </c:pt>
                <c:pt idx="89">
                  <c:v>17.78</c:v>
                </c:pt>
                <c:pt idx="90">
                  <c:v>64.81</c:v>
                </c:pt>
                <c:pt idx="91">
                  <c:v>76.69</c:v>
                </c:pt>
                <c:pt idx="92">
                  <c:v>11.77</c:v>
                </c:pt>
                <c:pt idx="93">
                  <c:v>42.98</c:v>
                </c:pt>
                <c:pt idx="94">
                  <c:v>47.39</c:v>
                </c:pt>
                <c:pt idx="95">
                  <c:v>38.5</c:v>
                </c:pt>
                <c:pt idx="96">
                  <c:v>33.93</c:v>
                </c:pt>
                <c:pt idx="97">
                  <c:v>23.25</c:v>
                </c:pt>
                <c:pt idx="98">
                  <c:v>77.400000000000006</c:v>
                </c:pt>
                <c:pt idx="99">
                  <c:v>12.97</c:v>
                </c:pt>
                <c:pt idx="100">
                  <c:v>78.040000000000006</c:v>
                </c:pt>
                <c:pt idx="101">
                  <c:v>70.040000000000006</c:v>
                </c:pt>
                <c:pt idx="102">
                  <c:v>35.17</c:v>
                </c:pt>
                <c:pt idx="103">
                  <c:v>74.47</c:v>
                </c:pt>
                <c:pt idx="104">
                  <c:v>33.26</c:v>
                </c:pt>
                <c:pt idx="105">
                  <c:v>47.67</c:v>
                </c:pt>
                <c:pt idx="106">
                  <c:v>44.54</c:v>
                </c:pt>
                <c:pt idx="107">
                  <c:v>73.680000000000007</c:v>
                </c:pt>
                <c:pt idx="108">
                  <c:v>9.24</c:v>
                </c:pt>
                <c:pt idx="109">
                  <c:v>18.97</c:v>
                </c:pt>
                <c:pt idx="110">
                  <c:v>68.39</c:v>
                </c:pt>
                <c:pt idx="111">
                  <c:v>60.61</c:v>
                </c:pt>
                <c:pt idx="112">
                  <c:v>10.19</c:v>
                </c:pt>
                <c:pt idx="113">
                  <c:v>15.37</c:v>
                </c:pt>
                <c:pt idx="114">
                  <c:v>26.04</c:v>
                </c:pt>
                <c:pt idx="115">
                  <c:v>49.29</c:v>
                </c:pt>
                <c:pt idx="116">
                  <c:v>72.31</c:v>
                </c:pt>
                <c:pt idx="117">
                  <c:v>24.37</c:v>
                </c:pt>
                <c:pt idx="118">
                  <c:v>7.21</c:v>
                </c:pt>
                <c:pt idx="119">
                  <c:v>24.56</c:v>
                </c:pt>
                <c:pt idx="120">
                  <c:v>40.18</c:v>
                </c:pt>
                <c:pt idx="121">
                  <c:v>50.67</c:v>
                </c:pt>
                <c:pt idx="122">
                  <c:v>9.14</c:v>
                </c:pt>
                <c:pt idx="123">
                  <c:v>30.56</c:v>
                </c:pt>
                <c:pt idx="124">
                  <c:v>64.63</c:v>
                </c:pt>
                <c:pt idx="125">
                  <c:v>32.03</c:v>
                </c:pt>
                <c:pt idx="126">
                  <c:v>29.7</c:v>
                </c:pt>
                <c:pt idx="127">
                  <c:v>64.89</c:v>
                </c:pt>
                <c:pt idx="128">
                  <c:v>9.94</c:v>
                </c:pt>
                <c:pt idx="129">
                  <c:v>28.55</c:v>
                </c:pt>
                <c:pt idx="130">
                  <c:v>36.17</c:v>
                </c:pt>
                <c:pt idx="131">
                  <c:v>35.119999999999997</c:v>
                </c:pt>
                <c:pt idx="132">
                  <c:v>36.53</c:v>
                </c:pt>
                <c:pt idx="133">
                  <c:v>47.22</c:v>
                </c:pt>
                <c:pt idx="134">
                  <c:v>18.98</c:v>
                </c:pt>
                <c:pt idx="135">
                  <c:v>18.72</c:v>
                </c:pt>
                <c:pt idx="136">
                  <c:v>41.61</c:v>
                </c:pt>
                <c:pt idx="137">
                  <c:v>61.38</c:v>
                </c:pt>
                <c:pt idx="138">
                  <c:v>41.47</c:v>
                </c:pt>
                <c:pt idx="139">
                  <c:v>65.930000000000007</c:v>
                </c:pt>
                <c:pt idx="140">
                  <c:v>31.35</c:v>
                </c:pt>
                <c:pt idx="141">
                  <c:v>36.68</c:v>
                </c:pt>
                <c:pt idx="142">
                  <c:v>26.81</c:v>
                </c:pt>
                <c:pt idx="143">
                  <c:v>58.75</c:v>
                </c:pt>
                <c:pt idx="144">
                  <c:v>51.8</c:v>
                </c:pt>
                <c:pt idx="145">
                  <c:v>68.86</c:v>
                </c:pt>
                <c:pt idx="146">
                  <c:v>34.08</c:v>
                </c:pt>
                <c:pt idx="147">
                  <c:v>8.65</c:v>
                </c:pt>
                <c:pt idx="148">
                  <c:v>68.08</c:v>
                </c:pt>
                <c:pt idx="149">
                  <c:v>41.7</c:v>
                </c:pt>
                <c:pt idx="150">
                  <c:v>68.739999999999995</c:v>
                </c:pt>
                <c:pt idx="151">
                  <c:v>77.430000000000007</c:v>
                </c:pt>
                <c:pt idx="152">
                  <c:v>36.36</c:v>
                </c:pt>
                <c:pt idx="153">
                  <c:v>37.96</c:v>
                </c:pt>
                <c:pt idx="154">
                  <c:v>79.349999999999994</c:v>
                </c:pt>
                <c:pt idx="155">
                  <c:v>58.3</c:v>
                </c:pt>
                <c:pt idx="156">
                  <c:v>6.73</c:v>
                </c:pt>
                <c:pt idx="157">
                  <c:v>62.67</c:v>
                </c:pt>
                <c:pt idx="158">
                  <c:v>37.25</c:v>
                </c:pt>
                <c:pt idx="159">
                  <c:v>47.09</c:v>
                </c:pt>
                <c:pt idx="160">
                  <c:v>66</c:v>
                </c:pt>
                <c:pt idx="161">
                  <c:v>37.24</c:v>
                </c:pt>
                <c:pt idx="162">
                  <c:v>54.76</c:v>
                </c:pt>
                <c:pt idx="163">
                  <c:v>44.99</c:v>
                </c:pt>
                <c:pt idx="164">
                  <c:v>42.3</c:v>
                </c:pt>
                <c:pt idx="165">
                  <c:v>71.69</c:v>
                </c:pt>
                <c:pt idx="166">
                  <c:v>69.66</c:v>
                </c:pt>
                <c:pt idx="167">
                  <c:v>66.17</c:v>
                </c:pt>
                <c:pt idx="168">
                  <c:v>49.2</c:v>
                </c:pt>
                <c:pt idx="169">
                  <c:v>27.79</c:v>
                </c:pt>
                <c:pt idx="170">
                  <c:v>41.49</c:v>
                </c:pt>
                <c:pt idx="171">
                  <c:v>64.489999999999995</c:v>
                </c:pt>
                <c:pt idx="172">
                  <c:v>53.61</c:v>
                </c:pt>
                <c:pt idx="173">
                  <c:v>45.9</c:v>
                </c:pt>
                <c:pt idx="174">
                  <c:v>47.62</c:v>
                </c:pt>
                <c:pt idx="175">
                  <c:v>9.2799999999999994</c:v>
                </c:pt>
                <c:pt idx="176">
                  <c:v>38.08</c:v>
                </c:pt>
                <c:pt idx="177">
                  <c:v>73.510000000000005</c:v>
                </c:pt>
                <c:pt idx="178">
                  <c:v>63.09</c:v>
                </c:pt>
                <c:pt idx="179">
                  <c:v>12.77</c:v>
                </c:pt>
                <c:pt idx="180">
                  <c:v>67.91</c:v>
                </c:pt>
                <c:pt idx="181">
                  <c:v>55.65</c:v>
                </c:pt>
                <c:pt idx="182">
                  <c:v>32.39</c:v>
                </c:pt>
                <c:pt idx="183">
                  <c:v>65.78</c:v>
                </c:pt>
                <c:pt idx="184">
                  <c:v>54.17</c:v>
                </c:pt>
                <c:pt idx="185">
                  <c:v>6.42</c:v>
                </c:pt>
                <c:pt idx="186">
                  <c:v>5.25</c:v>
                </c:pt>
                <c:pt idx="187">
                  <c:v>26.73</c:v>
                </c:pt>
                <c:pt idx="188">
                  <c:v>79.099999999999994</c:v>
                </c:pt>
                <c:pt idx="189">
                  <c:v>32.880000000000003</c:v>
                </c:pt>
                <c:pt idx="190">
                  <c:v>16.059999999999999</c:v>
                </c:pt>
                <c:pt idx="191">
                  <c:v>46.86</c:v>
                </c:pt>
                <c:pt idx="192">
                  <c:v>50.58</c:v>
                </c:pt>
                <c:pt idx="193">
                  <c:v>32.549999999999997</c:v>
                </c:pt>
                <c:pt idx="194">
                  <c:v>34.28</c:v>
                </c:pt>
                <c:pt idx="195">
                  <c:v>15.93</c:v>
                </c:pt>
                <c:pt idx="196">
                  <c:v>38.979999999999997</c:v>
                </c:pt>
                <c:pt idx="197">
                  <c:v>50.23</c:v>
                </c:pt>
                <c:pt idx="198">
                  <c:v>77.290000000000006</c:v>
                </c:pt>
                <c:pt idx="199">
                  <c:v>61.94</c:v>
                </c:pt>
                <c:pt idx="200">
                  <c:v>54.21</c:v>
                </c:pt>
                <c:pt idx="201">
                  <c:v>45.46</c:v>
                </c:pt>
                <c:pt idx="202">
                  <c:v>22.03</c:v>
                </c:pt>
                <c:pt idx="203">
                  <c:v>48.03</c:v>
                </c:pt>
                <c:pt idx="204">
                  <c:v>65.39</c:v>
                </c:pt>
                <c:pt idx="205">
                  <c:v>53.69</c:v>
                </c:pt>
                <c:pt idx="206">
                  <c:v>36.549999999999997</c:v>
                </c:pt>
                <c:pt idx="207">
                  <c:v>44.04</c:v>
                </c:pt>
                <c:pt idx="208">
                  <c:v>55.3</c:v>
                </c:pt>
                <c:pt idx="209">
                  <c:v>21.15</c:v>
                </c:pt>
                <c:pt idx="210">
                  <c:v>55.9</c:v>
                </c:pt>
                <c:pt idx="211">
                  <c:v>14.59</c:v>
                </c:pt>
                <c:pt idx="212">
                  <c:v>31.49</c:v>
                </c:pt>
                <c:pt idx="213">
                  <c:v>52.28</c:v>
                </c:pt>
                <c:pt idx="214">
                  <c:v>38.909999999999997</c:v>
                </c:pt>
                <c:pt idx="215">
                  <c:v>44.22</c:v>
                </c:pt>
                <c:pt idx="216">
                  <c:v>61.07</c:v>
                </c:pt>
                <c:pt idx="217">
                  <c:v>69.16</c:v>
                </c:pt>
                <c:pt idx="218">
                  <c:v>67.22</c:v>
                </c:pt>
                <c:pt idx="219">
                  <c:v>22</c:v>
                </c:pt>
                <c:pt idx="220">
                  <c:v>58.17</c:v>
                </c:pt>
                <c:pt idx="221">
                  <c:v>30.55</c:v>
                </c:pt>
                <c:pt idx="222">
                  <c:v>22.38</c:v>
                </c:pt>
                <c:pt idx="223">
                  <c:v>9.2200000000000006</c:v>
                </c:pt>
                <c:pt idx="224">
                  <c:v>58.44</c:v>
                </c:pt>
                <c:pt idx="225">
                  <c:v>44.78</c:v>
                </c:pt>
                <c:pt idx="226">
                  <c:v>36.82</c:v>
                </c:pt>
                <c:pt idx="227">
                  <c:v>10.35</c:v>
                </c:pt>
                <c:pt idx="228">
                  <c:v>34.479999999999997</c:v>
                </c:pt>
                <c:pt idx="229">
                  <c:v>39.31</c:v>
                </c:pt>
                <c:pt idx="230">
                  <c:v>47.97</c:v>
                </c:pt>
                <c:pt idx="231">
                  <c:v>37.369999999999997</c:v>
                </c:pt>
                <c:pt idx="232">
                  <c:v>35.380000000000003</c:v>
                </c:pt>
                <c:pt idx="233">
                  <c:v>71.81</c:v>
                </c:pt>
                <c:pt idx="234">
                  <c:v>6.13</c:v>
                </c:pt>
                <c:pt idx="235">
                  <c:v>31.15</c:v>
                </c:pt>
                <c:pt idx="236">
                  <c:v>10.55</c:v>
                </c:pt>
                <c:pt idx="237">
                  <c:v>29.45</c:v>
                </c:pt>
                <c:pt idx="238">
                  <c:v>17.829999999999998</c:v>
                </c:pt>
                <c:pt idx="239">
                  <c:v>11.43</c:v>
                </c:pt>
                <c:pt idx="240">
                  <c:v>52.15</c:v>
                </c:pt>
                <c:pt idx="241">
                  <c:v>30.22</c:v>
                </c:pt>
                <c:pt idx="242">
                  <c:v>26.9</c:v>
                </c:pt>
                <c:pt idx="243">
                  <c:v>58.73</c:v>
                </c:pt>
                <c:pt idx="244">
                  <c:v>34.840000000000003</c:v>
                </c:pt>
                <c:pt idx="245">
                  <c:v>23.05</c:v>
                </c:pt>
                <c:pt idx="246">
                  <c:v>48.45</c:v>
                </c:pt>
                <c:pt idx="247">
                  <c:v>40.89</c:v>
                </c:pt>
                <c:pt idx="248">
                  <c:v>53.08</c:v>
                </c:pt>
                <c:pt idx="249">
                  <c:v>23.43</c:v>
                </c:pt>
                <c:pt idx="250">
                  <c:v>49.82</c:v>
                </c:pt>
                <c:pt idx="251">
                  <c:v>24.67</c:v>
                </c:pt>
                <c:pt idx="252">
                  <c:v>12.31</c:v>
                </c:pt>
                <c:pt idx="253">
                  <c:v>75.31</c:v>
                </c:pt>
                <c:pt idx="254">
                  <c:v>62.79</c:v>
                </c:pt>
                <c:pt idx="255">
                  <c:v>48.66</c:v>
                </c:pt>
                <c:pt idx="256">
                  <c:v>61.65</c:v>
                </c:pt>
                <c:pt idx="257">
                  <c:v>23.67</c:v>
                </c:pt>
                <c:pt idx="258">
                  <c:v>8.6199999999999992</c:v>
                </c:pt>
                <c:pt idx="259">
                  <c:v>34.840000000000003</c:v>
                </c:pt>
                <c:pt idx="260">
                  <c:v>41.77</c:v>
                </c:pt>
                <c:pt idx="261">
                  <c:v>9.01</c:v>
                </c:pt>
                <c:pt idx="262">
                  <c:v>9.2100000000000009</c:v>
                </c:pt>
                <c:pt idx="263">
                  <c:v>14.87</c:v>
                </c:pt>
                <c:pt idx="264">
                  <c:v>30.75</c:v>
                </c:pt>
                <c:pt idx="265">
                  <c:v>26.31</c:v>
                </c:pt>
                <c:pt idx="266">
                  <c:v>78.17</c:v>
                </c:pt>
                <c:pt idx="267">
                  <c:v>21.99</c:v>
                </c:pt>
                <c:pt idx="268">
                  <c:v>50.24</c:v>
                </c:pt>
                <c:pt idx="269">
                  <c:v>41.16</c:v>
                </c:pt>
                <c:pt idx="270">
                  <c:v>18.07</c:v>
                </c:pt>
                <c:pt idx="271">
                  <c:v>57.3</c:v>
                </c:pt>
                <c:pt idx="272">
                  <c:v>27.63</c:v>
                </c:pt>
                <c:pt idx="273">
                  <c:v>27.03</c:v>
                </c:pt>
                <c:pt idx="274">
                  <c:v>39.78</c:v>
                </c:pt>
                <c:pt idx="275">
                  <c:v>78.06</c:v>
                </c:pt>
                <c:pt idx="276">
                  <c:v>77</c:v>
                </c:pt>
                <c:pt idx="277">
                  <c:v>27.39</c:v>
                </c:pt>
                <c:pt idx="278">
                  <c:v>10.69</c:v>
                </c:pt>
                <c:pt idx="279">
                  <c:v>71.13</c:v>
                </c:pt>
                <c:pt idx="280">
                  <c:v>36.47</c:v>
                </c:pt>
                <c:pt idx="281">
                  <c:v>12.81</c:v>
                </c:pt>
                <c:pt idx="282">
                  <c:v>12.24</c:v>
                </c:pt>
                <c:pt idx="283">
                  <c:v>12.91</c:v>
                </c:pt>
                <c:pt idx="284">
                  <c:v>70.08</c:v>
                </c:pt>
                <c:pt idx="285">
                  <c:v>31.52</c:v>
                </c:pt>
                <c:pt idx="286">
                  <c:v>47.22</c:v>
                </c:pt>
                <c:pt idx="287">
                  <c:v>70.52</c:v>
                </c:pt>
                <c:pt idx="288">
                  <c:v>73.63</c:v>
                </c:pt>
                <c:pt idx="289">
                  <c:v>35.67</c:v>
                </c:pt>
                <c:pt idx="290">
                  <c:v>66.16</c:v>
                </c:pt>
                <c:pt idx="291">
                  <c:v>35.630000000000003</c:v>
                </c:pt>
                <c:pt idx="292">
                  <c:v>34.61</c:v>
                </c:pt>
                <c:pt idx="293">
                  <c:v>60.37</c:v>
                </c:pt>
                <c:pt idx="294">
                  <c:v>75.62</c:v>
                </c:pt>
                <c:pt idx="295">
                  <c:v>18.670000000000002</c:v>
                </c:pt>
                <c:pt idx="296">
                  <c:v>6.12</c:v>
                </c:pt>
                <c:pt idx="297">
                  <c:v>29.66</c:v>
                </c:pt>
                <c:pt idx="298">
                  <c:v>77.16</c:v>
                </c:pt>
                <c:pt idx="299">
                  <c:v>50.16</c:v>
                </c:pt>
                <c:pt idx="300">
                  <c:v>72.73</c:v>
                </c:pt>
                <c:pt idx="301">
                  <c:v>22.5</c:v>
                </c:pt>
                <c:pt idx="302">
                  <c:v>16.63</c:v>
                </c:pt>
                <c:pt idx="303">
                  <c:v>78.930000000000007</c:v>
                </c:pt>
                <c:pt idx="304">
                  <c:v>69.17</c:v>
                </c:pt>
                <c:pt idx="305">
                  <c:v>49.35</c:v>
                </c:pt>
                <c:pt idx="306">
                  <c:v>20.41</c:v>
                </c:pt>
                <c:pt idx="307">
                  <c:v>23.08</c:v>
                </c:pt>
                <c:pt idx="308">
                  <c:v>8.02</c:v>
                </c:pt>
                <c:pt idx="309">
                  <c:v>67.42</c:v>
                </c:pt>
                <c:pt idx="310">
                  <c:v>73.599999999999994</c:v>
                </c:pt>
                <c:pt idx="311">
                  <c:v>77.63</c:v>
                </c:pt>
                <c:pt idx="312">
                  <c:v>62.24</c:v>
                </c:pt>
                <c:pt idx="313">
                  <c:v>56.33</c:v>
                </c:pt>
                <c:pt idx="314">
                  <c:v>33.14</c:v>
                </c:pt>
                <c:pt idx="315">
                  <c:v>53.36</c:v>
                </c:pt>
                <c:pt idx="316">
                  <c:v>56.47</c:v>
                </c:pt>
                <c:pt idx="317">
                  <c:v>25.73</c:v>
                </c:pt>
                <c:pt idx="318">
                  <c:v>24.76</c:v>
                </c:pt>
                <c:pt idx="319">
                  <c:v>72.09</c:v>
                </c:pt>
                <c:pt idx="320">
                  <c:v>9.1199999999999992</c:v>
                </c:pt>
                <c:pt idx="321">
                  <c:v>79.989999999999995</c:v>
                </c:pt>
                <c:pt idx="322">
                  <c:v>75.16</c:v>
                </c:pt>
                <c:pt idx="323">
                  <c:v>60.57</c:v>
                </c:pt>
                <c:pt idx="324">
                  <c:v>29.93</c:v>
                </c:pt>
                <c:pt idx="325">
                  <c:v>56.91</c:v>
                </c:pt>
                <c:pt idx="326">
                  <c:v>60.13</c:v>
                </c:pt>
                <c:pt idx="327">
                  <c:v>15.72</c:v>
                </c:pt>
                <c:pt idx="328">
                  <c:v>49.42</c:v>
                </c:pt>
                <c:pt idx="329">
                  <c:v>27.62</c:v>
                </c:pt>
                <c:pt idx="330">
                  <c:v>75.87</c:v>
                </c:pt>
                <c:pt idx="331">
                  <c:v>49.71</c:v>
                </c:pt>
                <c:pt idx="332">
                  <c:v>44.77</c:v>
                </c:pt>
                <c:pt idx="333">
                  <c:v>69.14</c:v>
                </c:pt>
                <c:pt idx="334">
                  <c:v>31.46</c:v>
                </c:pt>
                <c:pt idx="335">
                  <c:v>19.329999999999998</c:v>
                </c:pt>
                <c:pt idx="336">
                  <c:v>59.94</c:v>
                </c:pt>
                <c:pt idx="337">
                  <c:v>9.06</c:v>
                </c:pt>
                <c:pt idx="338">
                  <c:v>68.47</c:v>
                </c:pt>
                <c:pt idx="339">
                  <c:v>30.56</c:v>
                </c:pt>
                <c:pt idx="340">
                  <c:v>69.67</c:v>
                </c:pt>
                <c:pt idx="341">
                  <c:v>41.1</c:v>
                </c:pt>
                <c:pt idx="342">
                  <c:v>61.71</c:v>
                </c:pt>
                <c:pt idx="343">
                  <c:v>36.630000000000003</c:v>
                </c:pt>
                <c:pt idx="344">
                  <c:v>64.83</c:v>
                </c:pt>
                <c:pt idx="345">
                  <c:v>47.62</c:v>
                </c:pt>
                <c:pt idx="346">
                  <c:v>53.5</c:v>
                </c:pt>
                <c:pt idx="347">
                  <c:v>20.14</c:v>
                </c:pt>
                <c:pt idx="348">
                  <c:v>63.85</c:v>
                </c:pt>
                <c:pt idx="349">
                  <c:v>78.16</c:v>
                </c:pt>
                <c:pt idx="350">
                  <c:v>70.33</c:v>
                </c:pt>
                <c:pt idx="351">
                  <c:v>5.16</c:v>
                </c:pt>
                <c:pt idx="352">
                  <c:v>37.44</c:v>
                </c:pt>
                <c:pt idx="353">
                  <c:v>35.659999999999997</c:v>
                </c:pt>
                <c:pt idx="354">
                  <c:v>27.33</c:v>
                </c:pt>
                <c:pt idx="355">
                  <c:v>60.46</c:v>
                </c:pt>
                <c:pt idx="356">
                  <c:v>18.78</c:v>
                </c:pt>
                <c:pt idx="357">
                  <c:v>76.05</c:v>
                </c:pt>
                <c:pt idx="358">
                  <c:v>54.71</c:v>
                </c:pt>
                <c:pt idx="359">
                  <c:v>44.4</c:v>
                </c:pt>
                <c:pt idx="360">
                  <c:v>18.86</c:v>
                </c:pt>
                <c:pt idx="361">
                  <c:v>64.81</c:v>
                </c:pt>
                <c:pt idx="362">
                  <c:v>71.22</c:v>
                </c:pt>
                <c:pt idx="363">
                  <c:v>25.82</c:v>
                </c:pt>
                <c:pt idx="364">
                  <c:v>19.940000000000001</c:v>
                </c:pt>
                <c:pt idx="365">
                  <c:v>37.42</c:v>
                </c:pt>
                <c:pt idx="366">
                  <c:v>79.66</c:v>
                </c:pt>
                <c:pt idx="367">
                  <c:v>6.27</c:v>
                </c:pt>
                <c:pt idx="368">
                  <c:v>24.62</c:v>
                </c:pt>
                <c:pt idx="369">
                  <c:v>73.64</c:v>
                </c:pt>
                <c:pt idx="370">
                  <c:v>73.22</c:v>
                </c:pt>
                <c:pt idx="371">
                  <c:v>18.3</c:v>
                </c:pt>
                <c:pt idx="372">
                  <c:v>11.18</c:v>
                </c:pt>
                <c:pt idx="373">
                  <c:v>22.31</c:v>
                </c:pt>
                <c:pt idx="374">
                  <c:v>62.71</c:v>
                </c:pt>
                <c:pt idx="375">
                  <c:v>66.14</c:v>
                </c:pt>
                <c:pt idx="376">
                  <c:v>25.74</c:v>
                </c:pt>
                <c:pt idx="377">
                  <c:v>73.77</c:v>
                </c:pt>
                <c:pt idx="378">
                  <c:v>51.14</c:v>
                </c:pt>
                <c:pt idx="379">
                  <c:v>46.77</c:v>
                </c:pt>
                <c:pt idx="380">
                  <c:v>16.87</c:v>
                </c:pt>
                <c:pt idx="381">
                  <c:v>77.819999999999993</c:v>
                </c:pt>
                <c:pt idx="382">
                  <c:v>49.24</c:v>
                </c:pt>
                <c:pt idx="383">
                  <c:v>46.29</c:v>
                </c:pt>
                <c:pt idx="384">
                  <c:v>20.63</c:v>
                </c:pt>
                <c:pt idx="385">
                  <c:v>8.4</c:v>
                </c:pt>
                <c:pt idx="386">
                  <c:v>16.32</c:v>
                </c:pt>
                <c:pt idx="387">
                  <c:v>68.55</c:v>
                </c:pt>
                <c:pt idx="388">
                  <c:v>47.74</c:v>
                </c:pt>
                <c:pt idx="389">
                  <c:v>58.61</c:v>
                </c:pt>
                <c:pt idx="390">
                  <c:v>34.08</c:v>
                </c:pt>
                <c:pt idx="391">
                  <c:v>62.46</c:v>
                </c:pt>
                <c:pt idx="392">
                  <c:v>73.67</c:v>
                </c:pt>
                <c:pt idx="393">
                  <c:v>7.11</c:v>
                </c:pt>
                <c:pt idx="394">
                  <c:v>54.83</c:v>
                </c:pt>
                <c:pt idx="395">
                  <c:v>20.350000000000001</c:v>
                </c:pt>
                <c:pt idx="396">
                  <c:v>29.79</c:v>
                </c:pt>
                <c:pt idx="397">
                  <c:v>37.46</c:v>
                </c:pt>
                <c:pt idx="398">
                  <c:v>25.44</c:v>
                </c:pt>
                <c:pt idx="399">
                  <c:v>16.510000000000002</c:v>
                </c:pt>
                <c:pt idx="400">
                  <c:v>65.930000000000007</c:v>
                </c:pt>
                <c:pt idx="401">
                  <c:v>13.63</c:v>
                </c:pt>
                <c:pt idx="402">
                  <c:v>64.53</c:v>
                </c:pt>
                <c:pt idx="403">
                  <c:v>67.489999999999995</c:v>
                </c:pt>
                <c:pt idx="404">
                  <c:v>32.72</c:v>
                </c:pt>
                <c:pt idx="405">
                  <c:v>35.01</c:v>
                </c:pt>
                <c:pt idx="406">
                  <c:v>18.59</c:v>
                </c:pt>
                <c:pt idx="407">
                  <c:v>40.58</c:v>
                </c:pt>
                <c:pt idx="408">
                  <c:v>35.65</c:v>
                </c:pt>
                <c:pt idx="409">
                  <c:v>8.3000000000000007</c:v>
                </c:pt>
                <c:pt idx="410">
                  <c:v>55.65</c:v>
                </c:pt>
                <c:pt idx="411">
                  <c:v>58.54</c:v>
                </c:pt>
                <c:pt idx="412">
                  <c:v>35.880000000000003</c:v>
                </c:pt>
                <c:pt idx="413">
                  <c:v>74.03</c:v>
                </c:pt>
                <c:pt idx="414">
                  <c:v>68.150000000000006</c:v>
                </c:pt>
                <c:pt idx="415">
                  <c:v>33.840000000000003</c:v>
                </c:pt>
                <c:pt idx="416">
                  <c:v>22.7</c:v>
                </c:pt>
                <c:pt idx="417">
                  <c:v>31.89</c:v>
                </c:pt>
                <c:pt idx="418">
                  <c:v>48.22</c:v>
                </c:pt>
                <c:pt idx="419">
                  <c:v>79.25</c:v>
                </c:pt>
                <c:pt idx="420">
                  <c:v>31.23</c:v>
                </c:pt>
                <c:pt idx="421">
                  <c:v>13.31</c:v>
                </c:pt>
                <c:pt idx="422">
                  <c:v>22.41</c:v>
                </c:pt>
                <c:pt idx="423">
                  <c:v>72.459999999999994</c:v>
                </c:pt>
                <c:pt idx="424">
                  <c:v>26.15</c:v>
                </c:pt>
                <c:pt idx="425">
                  <c:v>58.57</c:v>
                </c:pt>
                <c:pt idx="426">
                  <c:v>73.849999999999994</c:v>
                </c:pt>
                <c:pt idx="427">
                  <c:v>72.31</c:v>
                </c:pt>
                <c:pt idx="428">
                  <c:v>12.55</c:v>
                </c:pt>
                <c:pt idx="429">
                  <c:v>25.1</c:v>
                </c:pt>
                <c:pt idx="430">
                  <c:v>14.82</c:v>
                </c:pt>
                <c:pt idx="431">
                  <c:v>56.44</c:v>
                </c:pt>
                <c:pt idx="432">
                  <c:v>12.58</c:v>
                </c:pt>
                <c:pt idx="433">
                  <c:v>7.47</c:v>
                </c:pt>
                <c:pt idx="434">
                  <c:v>20.93</c:v>
                </c:pt>
                <c:pt idx="435">
                  <c:v>34.770000000000003</c:v>
                </c:pt>
                <c:pt idx="436">
                  <c:v>33.700000000000003</c:v>
                </c:pt>
                <c:pt idx="437">
                  <c:v>46.23</c:v>
                </c:pt>
                <c:pt idx="438">
                  <c:v>74.42</c:v>
                </c:pt>
                <c:pt idx="439">
                  <c:v>53.6</c:v>
                </c:pt>
                <c:pt idx="440">
                  <c:v>55.99</c:v>
                </c:pt>
                <c:pt idx="441">
                  <c:v>50.02</c:v>
                </c:pt>
                <c:pt idx="442">
                  <c:v>65.11</c:v>
                </c:pt>
                <c:pt idx="443">
                  <c:v>22.04</c:v>
                </c:pt>
                <c:pt idx="444">
                  <c:v>28.23</c:v>
                </c:pt>
                <c:pt idx="445">
                  <c:v>72.75</c:v>
                </c:pt>
                <c:pt idx="446">
                  <c:v>70.87</c:v>
                </c:pt>
                <c:pt idx="447">
                  <c:v>29.31</c:v>
                </c:pt>
                <c:pt idx="448">
                  <c:v>59.96</c:v>
                </c:pt>
                <c:pt idx="449">
                  <c:v>12.69</c:v>
                </c:pt>
                <c:pt idx="450">
                  <c:v>75.61</c:v>
                </c:pt>
                <c:pt idx="451">
                  <c:v>66.459999999999994</c:v>
                </c:pt>
                <c:pt idx="452">
                  <c:v>60.32</c:v>
                </c:pt>
                <c:pt idx="453">
                  <c:v>43.03</c:v>
                </c:pt>
                <c:pt idx="454">
                  <c:v>44.52</c:v>
                </c:pt>
                <c:pt idx="455">
                  <c:v>5.9</c:v>
                </c:pt>
                <c:pt idx="456">
                  <c:v>17.84</c:v>
                </c:pt>
                <c:pt idx="457">
                  <c:v>47.38</c:v>
                </c:pt>
                <c:pt idx="458">
                  <c:v>70.16</c:v>
                </c:pt>
                <c:pt idx="459">
                  <c:v>56.23</c:v>
                </c:pt>
                <c:pt idx="460">
                  <c:v>9.8800000000000008</c:v>
                </c:pt>
                <c:pt idx="461">
                  <c:v>17.55</c:v>
                </c:pt>
                <c:pt idx="462">
                  <c:v>27.66</c:v>
                </c:pt>
                <c:pt idx="463">
                  <c:v>6.09</c:v>
                </c:pt>
                <c:pt idx="464">
                  <c:v>67.02</c:v>
                </c:pt>
                <c:pt idx="465">
                  <c:v>21.86</c:v>
                </c:pt>
                <c:pt idx="466">
                  <c:v>73.87</c:v>
                </c:pt>
                <c:pt idx="467">
                  <c:v>37.299999999999997</c:v>
                </c:pt>
                <c:pt idx="468">
                  <c:v>75.650000000000006</c:v>
                </c:pt>
                <c:pt idx="469">
                  <c:v>60.02</c:v>
                </c:pt>
                <c:pt idx="470">
                  <c:v>41.25</c:v>
                </c:pt>
                <c:pt idx="471">
                  <c:v>78.62</c:v>
                </c:pt>
                <c:pt idx="472">
                  <c:v>8.23</c:v>
                </c:pt>
                <c:pt idx="473">
                  <c:v>29.01</c:v>
                </c:pt>
                <c:pt idx="474">
                  <c:v>45.28</c:v>
                </c:pt>
                <c:pt idx="475">
                  <c:v>15.17</c:v>
                </c:pt>
                <c:pt idx="476">
                  <c:v>33.61</c:v>
                </c:pt>
                <c:pt idx="477">
                  <c:v>39.94</c:v>
                </c:pt>
                <c:pt idx="478">
                  <c:v>57.11</c:v>
                </c:pt>
                <c:pt idx="479">
                  <c:v>25.3</c:v>
                </c:pt>
                <c:pt idx="480">
                  <c:v>26.1</c:v>
                </c:pt>
                <c:pt idx="481">
                  <c:v>63.66</c:v>
                </c:pt>
                <c:pt idx="482">
                  <c:v>65.59</c:v>
                </c:pt>
                <c:pt idx="483">
                  <c:v>20.100000000000001</c:v>
                </c:pt>
                <c:pt idx="484">
                  <c:v>64.77</c:v>
                </c:pt>
                <c:pt idx="485">
                  <c:v>65.13</c:v>
                </c:pt>
                <c:pt idx="486">
                  <c:v>27.61</c:v>
                </c:pt>
                <c:pt idx="487">
                  <c:v>16.72</c:v>
                </c:pt>
                <c:pt idx="488">
                  <c:v>30.4</c:v>
                </c:pt>
                <c:pt idx="489">
                  <c:v>44.53</c:v>
                </c:pt>
                <c:pt idx="490">
                  <c:v>61.72</c:v>
                </c:pt>
                <c:pt idx="491">
                  <c:v>17</c:v>
                </c:pt>
                <c:pt idx="492">
                  <c:v>7.42</c:v>
                </c:pt>
                <c:pt idx="493">
                  <c:v>22.66</c:v>
                </c:pt>
                <c:pt idx="494">
                  <c:v>45.74</c:v>
                </c:pt>
                <c:pt idx="495">
                  <c:v>79.98</c:v>
                </c:pt>
                <c:pt idx="496">
                  <c:v>30.39</c:v>
                </c:pt>
                <c:pt idx="497">
                  <c:v>68.239999999999995</c:v>
                </c:pt>
                <c:pt idx="498">
                  <c:v>75.290000000000006</c:v>
                </c:pt>
                <c:pt idx="499">
                  <c:v>57.62</c:v>
                </c:pt>
                <c:pt idx="500">
                  <c:v>50.96</c:v>
                </c:pt>
                <c:pt idx="501">
                  <c:v>77.790000000000006</c:v>
                </c:pt>
                <c:pt idx="502">
                  <c:v>31.46</c:v>
                </c:pt>
                <c:pt idx="503">
                  <c:v>44.6</c:v>
                </c:pt>
                <c:pt idx="504">
                  <c:v>5.96</c:v>
                </c:pt>
                <c:pt idx="505">
                  <c:v>13.99</c:v>
                </c:pt>
                <c:pt idx="506">
                  <c:v>75.650000000000006</c:v>
                </c:pt>
                <c:pt idx="507">
                  <c:v>74.510000000000005</c:v>
                </c:pt>
                <c:pt idx="508">
                  <c:v>60.58</c:v>
                </c:pt>
                <c:pt idx="509">
                  <c:v>7.98</c:v>
                </c:pt>
                <c:pt idx="510">
                  <c:v>38.619999999999997</c:v>
                </c:pt>
                <c:pt idx="511">
                  <c:v>42.09</c:v>
                </c:pt>
                <c:pt idx="512">
                  <c:v>6.52</c:v>
                </c:pt>
                <c:pt idx="513">
                  <c:v>56.94</c:v>
                </c:pt>
                <c:pt idx="514">
                  <c:v>55.07</c:v>
                </c:pt>
                <c:pt idx="515">
                  <c:v>66.58</c:v>
                </c:pt>
                <c:pt idx="516">
                  <c:v>52.31</c:v>
                </c:pt>
                <c:pt idx="517">
                  <c:v>36.04</c:v>
                </c:pt>
                <c:pt idx="518">
                  <c:v>52.74</c:v>
                </c:pt>
                <c:pt idx="519">
                  <c:v>79.86</c:v>
                </c:pt>
                <c:pt idx="520">
                  <c:v>25.19</c:v>
                </c:pt>
                <c:pt idx="521">
                  <c:v>58.85</c:v>
                </c:pt>
                <c:pt idx="522">
                  <c:v>17.87</c:v>
                </c:pt>
                <c:pt idx="523">
                  <c:v>36.51</c:v>
                </c:pt>
                <c:pt idx="524">
                  <c:v>71.010000000000005</c:v>
                </c:pt>
                <c:pt idx="525">
                  <c:v>18.47</c:v>
                </c:pt>
                <c:pt idx="526">
                  <c:v>78.58</c:v>
                </c:pt>
                <c:pt idx="527">
                  <c:v>51.32</c:v>
                </c:pt>
                <c:pt idx="528">
                  <c:v>53.08</c:v>
                </c:pt>
                <c:pt idx="529">
                  <c:v>61.69</c:v>
                </c:pt>
                <c:pt idx="530">
                  <c:v>8.6199999999999992</c:v>
                </c:pt>
                <c:pt idx="531">
                  <c:v>57.18</c:v>
                </c:pt>
                <c:pt idx="532">
                  <c:v>37.549999999999997</c:v>
                </c:pt>
                <c:pt idx="533">
                  <c:v>15.3</c:v>
                </c:pt>
                <c:pt idx="534">
                  <c:v>55.95</c:v>
                </c:pt>
                <c:pt idx="535">
                  <c:v>68.17</c:v>
                </c:pt>
                <c:pt idx="536">
                  <c:v>8.2100000000000009</c:v>
                </c:pt>
                <c:pt idx="537">
                  <c:v>62.69</c:v>
                </c:pt>
                <c:pt idx="538">
                  <c:v>76.7</c:v>
                </c:pt>
                <c:pt idx="539">
                  <c:v>38.409999999999997</c:v>
                </c:pt>
                <c:pt idx="540">
                  <c:v>39.049999999999997</c:v>
                </c:pt>
                <c:pt idx="541">
                  <c:v>29.99</c:v>
                </c:pt>
                <c:pt idx="542">
                  <c:v>68.97</c:v>
                </c:pt>
                <c:pt idx="543">
                  <c:v>56.95</c:v>
                </c:pt>
                <c:pt idx="544">
                  <c:v>16.079999999999998</c:v>
                </c:pt>
                <c:pt idx="545">
                  <c:v>22</c:v>
                </c:pt>
                <c:pt idx="546">
                  <c:v>43.58</c:v>
                </c:pt>
                <c:pt idx="547">
                  <c:v>18.28</c:v>
                </c:pt>
                <c:pt idx="548">
                  <c:v>63.35</c:v>
                </c:pt>
                <c:pt idx="549">
                  <c:v>32.659999999999997</c:v>
                </c:pt>
                <c:pt idx="550">
                  <c:v>49.34</c:v>
                </c:pt>
                <c:pt idx="551">
                  <c:v>51.9</c:v>
                </c:pt>
                <c:pt idx="552">
                  <c:v>9.4499999999999993</c:v>
                </c:pt>
                <c:pt idx="553">
                  <c:v>39.94</c:v>
                </c:pt>
                <c:pt idx="554">
                  <c:v>34.11</c:v>
                </c:pt>
                <c:pt idx="555">
                  <c:v>15.24</c:v>
                </c:pt>
                <c:pt idx="556">
                  <c:v>13.72</c:v>
                </c:pt>
                <c:pt idx="557">
                  <c:v>34.21</c:v>
                </c:pt>
                <c:pt idx="558">
                  <c:v>20.58</c:v>
                </c:pt>
                <c:pt idx="559">
                  <c:v>47.41</c:v>
                </c:pt>
                <c:pt idx="560">
                  <c:v>57.5</c:v>
                </c:pt>
                <c:pt idx="561">
                  <c:v>15.52</c:v>
                </c:pt>
                <c:pt idx="562">
                  <c:v>57.08</c:v>
                </c:pt>
                <c:pt idx="563">
                  <c:v>50.46</c:v>
                </c:pt>
                <c:pt idx="564">
                  <c:v>40.5</c:v>
                </c:pt>
                <c:pt idx="565">
                  <c:v>8.0500000000000007</c:v>
                </c:pt>
                <c:pt idx="566">
                  <c:v>12.64</c:v>
                </c:pt>
                <c:pt idx="567">
                  <c:v>42.42</c:v>
                </c:pt>
                <c:pt idx="568">
                  <c:v>42.31</c:v>
                </c:pt>
                <c:pt idx="569">
                  <c:v>58.18</c:v>
                </c:pt>
                <c:pt idx="570">
                  <c:v>75.37</c:v>
                </c:pt>
                <c:pt idx="571">
                  <c:v>24.36</c:v>
                </c:pt>
                <c:pt idx="572">
                  <c:v>41.22</c:v>
                </c:pt>
                <c:pt idx="573">
                  <c:v>79.48</c:v>
                </c:pt>
                <c:pt idx="574">
                  <c:v>74.13</c:v>
                </c:pt>
                <c:pt idx="575">
                  <c:v>71.319999999999993</c:v>
                </c:pt>
                <c:pt idx="576">
                  <c:v>42.98</c:v>
                </c:pt>
                <c:pt idx="577">
                  <c:v>13.86</c:v>
                </c:pt>
                <c:pt idx="578">
                  <c:v>55.67</c:v>
                </c:pt>
                <c:pt idx="579">
                  <c:v>62.11</c:v>
                </c:pt>
                <c:pt idx="580">
                  <c:v>15.98</c:v>
                </c:pt>
                <c:pt idx="581">
                  <c:v>74.17</c:v>
                </c:pt>
                <c:pt idx="582">
                  <c:v>79.92</c:v>
                </c:pt>
                <c:pt idx="583">
                  <c:v>28.46</c:v>
                </c:pt>
                <c:pt idx="584">
                  <c:v>8.42</c:v>
                </c:pt>
                <c:pt idx="585">
                  <c:v>26.65</c:v>
                </c:pt>
                <c:pt idx="586">
                  <c:v>79.19</c:v>
                </c:pt>
                <c:pt idx="587">
                  <c:v>54.57</c:v>
                </c:pt>
                <c:pt idx="588">
                  <c:v>58.67</c:v>
                </c:pt>
                <c:pt idx="589">
                  <c:v>45.66</c:v>
                </c:pt>
                <c:pt idx="590">
                  <c:v>70.98</c:v>
                </c:pt>
                <c:pt idx="591">
                  <c:v>52.34</c:v>
                </c:pt>
                <c:pt idx="592">
                  <c:v>23.15</c:v>
                </c:pt>
                <c:pt idx="593">
                  <c:v>53.28</c:v>
                </c:pt>
                <c:pt idx="594">
                  <c:v>72.819999999999993</c:v>
                </c:pt>
                <c:pt idx="595">
                  <c:v>64.87</c:v>
                </c:pt>
                <c:pt idx="596">
                  <c:v>77.22</c:v>
                </c:pt>
                <c:pt idx="597">
                  <c:v>29.81</c:v>
                </c:pt>
                <c:pt idx="598">
                  <c:v>8.5399999999999991</c:v>
                </c:pt>
                <c:pt idx="599">
                  <c:v>57.03</c:v>
                </c:pt>
                <c:pt idx="600">
                  <c:v>18.23</c:v>
                </c:pt>
                <c:pt idx="601">
                  <c:v>62.87</c:v>
                </c:pt>
                <c:pt idx="602">
                  <c:v>25.27</c:v>
                </c:pt>
                <c:pt idx="603">
                  <c:v>68.069999999999993</c:v>
                </c:pt>
                <c:pt idx="604">
                  <c:v>25.97</c:v>
                </c:pt>
                <c:pt idx="605">
                  <c:v>75.319999999999993</c:v>
                </c:pt>
                <c:pt idx="606">
                  <c:v>60.02</c:v>
                </c:pt>
                <c:pt idx="607">
                  <c:v>11.24</c:v>
                </c:pt>
                <c:pt idx="608">
                  <c:v>45.44</c:v>
                </c:pt>
                <c:pt idx="609">
                  <c:v>76.48</c:v>
                </c:pt>
                <c:pt idx="610">
                  <c:v>43.02</c:v>
                </c:pt>
                <c:pt idx="611">
                  <c:v>65.88</c:v>
                </c:pt>
                <c:pt idx="612">
                  <c:v>26.97</c:v>
                </c:pt>
                <c:pt idx="613">
                  <c:v>6.84</c:v>
                </c:pt>
                <c:pt idx="614">
                  <c:v>73.27</c:v>
                </c:pt>
                <c:pt idx="615">
                  <c:v>68.83</c:v>
                </c:pt>
                <c:pt idx="616">
                  <c:v>33.36</c:v>
                </c:pt>
                <c:pt idx="617">
                  <c:v>45.5</c:v>
                </c:pt>
                <c:pt idx="618">
                  <c:v>45.7</c:v>
                </c:pt>
                <c:pt idx="619">
                  <c:v>65.45</c:v>
                </c:pt>
                <c:pt idx="620">
                  <c:v>23.67</c:v>
                </c:pt>
                <c:pt idx="621">
                  <c:v>63.12</c:v>
                </c:pt>
                <c:pt idx="622">
                  <c:v>28.34</c:v>
                </c:pt>
                <c:pt idx="623">
                  <c:v>63</c:v>
                </c:pt>
                <c:pt idx="624">
                  <c:v>49.25</c:v>
                </c:pt>
                <c:pt idx="625">
                  <c:v>17.13</c:v>
                </c:pt>
                <c:pt idx="626">
                  <c:v>17.93</c:v>
                </c:pt>
                <c:pt idx="627">
                  <c:v>32.159999999999997</c:v>
                </c:pt>
                <c:pt idx="628">
                  <c:v>15.2</c:v>
                </c:pt>
                <c:pt idx="629">
                  <c:v>15.58</c:v>
                </c:pt>
                <c:pt idx="630">
                  <c:v>30.34</c:v>
                </c:pt>
                <c:pt idx="631">
                  <c:v>61.84</c:v>
                </c:pt>
                <c:pt idx="632">
                  <c:v>42.57</c:v>
                </c:pt>
                <c:pt idx="633">
                  <c:v>15.41</c:v>
                </c:pt>
                <c:pt idx="634">
                  <c:v>55.68</c:v>
                </c:pt>
                <c:pt idx="635">
                  <c:v>30.35</c:v>
                </c:pt>
                <c:pt idx="636">
                  <c:v>47.05</c:v>
                </c:pt>
                <c:pt idx="637">
                  <c:v>29.69</c:v>
                </c:pt>
                <c:pt idx="638">
                  <c:v>65.69</c:v>
                </c:pt>
                <c:pt idx="639">
                  <c:v>39.770000000000003</c:v>
                </c:pt>
                <c:pt idx="640">
                  <c:v>62.28</c:v>
                </c:pt>
                <c:pt idx="641">
                  <c:v>41.83</c:v>
                </c:pt>
                <c:pt idx="642">
                  <c:v>58.43</c:v>
                </c:pt>
                <c:pt idx="643">
                  <c:v>77.400000000000006</c:v>
                </c:pt>
                <c:pt idx="644">
                  <c:v>37.78</c:v>
                </c:pt>
                <c:pt idx="645">
                  <c:v>37</c:v>
                </c:pt>
                <c:pt idx="646">
                  <c:v>43.23</c:v>
                </c:pt>
                <c:pt idx="647">
                  <c:v>53.05</c:v>
                </c:pt>
                <c:pt idx="648">
                  <c:v>63.15</c:v>
                </c:pt>
                <c:pt idx="649">
                  <c:v>35.770000000000003</c:v>
                </c:pt>
                <c:pt idx="650">
                  <c:v>34.42</c:v>
                </c:pt>
                <c:pt idx="651">
                  <c:v>67.17</c:v>
                </c:pt>
                <c:pt idx="652">
                  <c:v>43</c:v>
                </c:pt>
                <c:pt idx="653">
                  <c:v>39.909999999999997</c:v>
                </c:pt>
                <c:pt idx="654">
                  <c:v>31.48</c:v>
                </c:pt>
                <c:pt idx="655">
                  <c:v>35.700000000000003</c:v>
                </c:pt>
                <c:pt idx="656">
                  <c:v>11.15</c:v>
                </c:pt>
                <c:pt idx="657">
                  <c:v>15.65</c:v>
                </c:pt>
                <c:pt idx="658">
                  <c:v>22.2</c:v>
                </c:pt>
                <c:pt idx="659">
                  <c:v>39.18</c:v>
                </c:pt>
                <c:pt idx="660">
                  <c:v>59.95</c:v>
                </c:pt>
                <c:pt idx="661">
                  <c:v>52.48</c:v>
                </c:pt>
                <c:pt idx="662">
                  <c:v>41.85</c:v>
                </c:pt>
                <c:pt idx="663">
                  <c:v>67.069999999999993</c:v>
                </c:pt>
                <c:pt idx="664">
                  <c:v>18</c:v>
                </c:pt>
                <c:pt idx="665">
                  <c:v>68.61</c:v>
                </c:pt>
                <c:pt idx="666">
                  <c:v>71.040000000000006</c:v>
                </c:pt>
                <c:pt idx="667">
                  <c:v>21.92</c:v>
                </c:pt>
                <c:pt idx="668">
                  <c:v>43.41</c:v>
                </c:pt>
                <c:pt idx="669">
                  <c:v>38.89</c:v>
                </c:pt>
                <c:pt idx="670">
                  <c:v>29.29</c:v>
                </c:pt>
                <c:pt idx="671">
                  <c:v>23.01</c:v>
                </c:pt>
                <c:pt idx="672">
                  <c:v>60.69</c:v>
                </c:pt>
                <c:pt idx="673">
                  <c:v>39.380000000000003</c:v>
                </c:pt>
                <c:pt idx="674">
                  <c:v>58.22</c:v>
                </c:pt>
                <c:pt idx="675">
                  <c:v>49.14</c:v>
                </c:pt>
                <c:pt idx="676">
                  <c:v>35.549999999999997</c:v>
                </c:pt>
                <c:pt idx="677">
                  <c:v>12.11</c:v>
                </c:pt>
                <c:pt idx="678">
                  <c:v>30.38</c:v>
                </c:pt>
                <c:pt idx="679">
                  <c:v>9.94</c:v>
                </c:pt>
                <c:pt idx="680">
                  <c:v>35.020000000000003</c:v>
                </c:pt>
                <c:pt idx="681">
                  <c:v>73.47</c:v>
                </c:pt>
                <c:pt idx="682">
                  <c:v>56.6</c:v>
                </c:pt>
                <c:pt idx="683">
                  <c:v>51.19</c:v>
                </c:pt>
                <c:pt idx="684">
                  <c:v>28.68</c:v>
                </c:pt>
                <c:pt idx="685">
                  <c:v>32.630000000000003</c:v>
                </c:pt>
                <c:pt idx="686">
                  <c:v>62.15</c:v>
                </c:pt>
                <c:pt idx="687">
                  <c:v>12.09</c:v>
                </c:pt>
                <c:pt idx="688">
                  <c:v>26.39</c:v>
                </c:pt>
                <c:pt idx="689">
                  <c:v>56.89</c:v>
                </c:pt>
                <c:pt idx="690">
                  <c:v>34.03</c:v>
                </c:pt>
                <c:pt idx="691">
                  <c:v>23.31</c:v>
                </c:pt>
                <c:pt idx="692">
                  <c:v>9.5399999999999991</c:v>
                </c:pt>
                <c:pt idx="693">
                  <c:v>43.24</c:v>
                </c:pt>
                <c:pt idx="694">
                  <c:v>9.7200000000000006</c:v>
                </c:pt>
                <c:pt idx="695">
                  <c:v>36.9</c:v>
                </c:pt>
                <c:pt idx="696">
                  <c:v>11.82</c:v>
                </c:pt>
                <c:pt idx="697">
                  <c:v>47.82</c:v>
                </c:pt>
                <c:pt idx="698">
                  <c:v>54.34</c:v>
                </c:pt>
                <c:pt idx="699">
                  <c:v>20.28</c:v>
                </c:pt>
                <c:pt idx="700">
                  <c:v>21.37</c:v>
                </c:pt>
                <c:pt idx="701">
                  <c:v>8.42</c:v>
                </c:pt>
                <c:pt idx="702">
                  <c:v>54.67</c:v>
                </c:pt>
                <c:pt idx="703">
                  <c:v>55.73</c:v>
                </c:pt>
                <c:pt idx="704">
                  <c:v>21.22</c:v>
                </c:pt>
                <c:pt idx="705">
                  <c:v>30.55</c:v>
                </c:pt>
                <c:pt idx="706">
                  <c:v>21.96</c:v>
                </c:pt>
                <c:pt idx="707">
                  <c:v>37.74</c:v>
                </c:pt>
                <c:pt idx="708">
                  <c:v>70.319999999999993</c:v>
                </c:pt>
                <c:pt idx="709">
                  <c:v>31.39</c:v>
                </c:pt>
                <c:pt idx="710">
                  <c:v>41.23</c:v>
                </c:pt>
                <c:pt idx="711">
                  <c:v>38.450000000000003</c:v>
                </c:pt>
                <c:pt idx="712">
                  <c:v>24.54</c:v>
                </c:pt>
                <c:pt idx="713">
                  <c:v>57.83</c:v>
                </c:pt>
                <c:pt idx="714">
                  <c:v>68.94</c:v>
                </c:pt>
                <c:pt idx="715">
                  <c:v>43.06</c:v>
                </c:pt>
                <c:pt idx="716">
                  <c:v>58.95</c:v>
                </c:pt>
                <c:pt idx="717">
                  <c:v>16.13</c:v>
                </c:pt>
                <c:pt idx="718">
                  <c:v>38.01</c:v>
                </c:pt>
                <c:pt idx="719">
                  <c:v>8.1999999999999993</c:v>
                </c:pt>
                <c:pt idx="720">
                  <c:v>36.85</c:v>
                </c:pt>
                <c:pt idx="721">
                  <c:v>36.950000000000003</c:v>
                </c:pt>
                <c:pt idx="722">
                  <c:v>5.1100000000000003</c:v>
                </c:pt>
                <c:pt idx="723">
                  <c:v>17.850000000000001</c:v>
                </c:pt>
                <c:pt idx="724">
                  <c:v>35.6</c:v>
                </c:pt>
                <c:pt idx="725">
                  <c:v>25.09</c:v>
                </c:pt>
                <c:pt idx="726">
                  <c:v>70.44</c:v>
                </c:pt>
                <c:pt idx="727">
                  <c:v>8.39</c:v>
                </c:pt>
                <c:pt idx="728">
                  <c:v>19.45</c:v>
                </c:pt>
                <c:pt idx="729">
                  <c:v>31.35</c:v>
                </c:pt>
                <c:pt idx="730">
                  <c:v>57.62</c:v>
                </c:pt>
                <c:pt idx="731">
                  <c:v>79.099999999999994</c:v>
                </c:pt>
                <c:pt idx="732">
                  <c:v>74.95</c:v>
                </c:pt>
                <c:pt idx="733">
                  <c:v>78.040000000000006</c:v>
                </c:pt>
                <c:pt idx="734">
                  <c:v>70.31</c:v>
                </c:pt>
                <c:pt idx="735">
                  <c:v>56.68</c:v>
                </c:pt>
                <c:pt idx="736">
                  <c:v>28.39</c:v>
                </c:pt>
                <c:pt idx="737">
                  <c:v>6.71</c:v>
                </c:pt>
                <c:pt idx="738">
                  <c:v>35.81</c:v>
                </c:pt>
                <c:pt idx="739">
                  <c:v>52.51</c:v>
                </c:pt>
                <c:pt idx="740">
                  <c:v>35.56</c:v>
                </c:pt>
                <c:pt idx="741">
                  <c:v>32.36</c:v>
                </c:pt>
                <c:pt idx="742">
                  <c:v>74.72</c:v>
                </c:pt>
                <c:pt idx="743">
                  <c:v>32.979999999999997</c:v>
                </c:pt>
                <c:pt idx="744">
                  <c:v>37.9</c:v>
                </c:pt>
                <c:pt idx="745">
                  <c:v>61.24</c:v>
                </c:pt>
                <c:pt idx="746">
                  <c:v>74.069999999999993</c:v>
                </c:pt>
                <c:pt idx="747">
                  <c:v>31.94</c:v>
                </c:pt>
                <c:pt idx="748">
                  <c:v>32.01</c:v>
                </c:pt>
                <c:pt idx="749">
                  <c:v>9.51</c:v>
                </c:pt>
                <c:pt idx="750">
                  <c:v>26.51</c:v>
                </c:pt>
                <c:pt idx="751">
                  <c:v>78.510000000000005</c:v>
                </c:pt>
                <c:pt idx="752">
                  <c:v>9.66</c:v>
                </c:pt>
                <c:pt idx="753">
                  <c:v>39.340000000000003</c:v>
                </c:pt>
                <c:pt idx="754">
                  <c:v>34.17</c:v>
                </c:pt>
                <c:pt idx="755">
                  <c:v>8.35</c:v>
                </c:pt>
                <c:pt idx="756">
                  <c:v>64.349999999999994</c:v>
                </c:pt>
                <c:pt idx="757">
                  <c:v>52.29</c:v>
                </c:pt>
                <c:pt idx="758">
                  <c:v>48.56</c:v>
                </c:pt>
                <c:pt idx="759">
                  <c:v>41.2</c:v>
                </c:pt>
                <c:pt idx="760">
                  <c:v>5.34</c:v>
                </c:pt>
                <c:pt idx="761">
                  <c:v>58.23</c:v>
                </c:pt>
              </c:numCache>
            </c:numRef>
          </c:yVal>
          <c:smooth val="0"/>
          <c:extLst>
            <c:ext xmlns:c16="http://schemas.microsoft.com/office/drawing/2014/chart" uri="{C3380CC4-5D6E-409C-BE32-E72D297353CC}">
              <c16:uniqueId val="{00000000-D0E9-4CF3-A7BF-3C71F5B3ED74}"/>
            </c:ext>
          </c:extLst>
        </c:ser>
        <c:dLbls>
          <c:showLegendKey val="0"/>
          <c:showVal val="0"/>
          <c:showCatName val="0"/>
          <c:showSerName val="0"/>
          <c:showPercent val="0"/>
          <c:showBubbleSize val="0"/>
        </c:dLbls>
        <c:axId val="1931378991"/>
        <c:axId val="1949013135"/>
      </c:scatterChart>
      <c:valAx>
        <c:axId val="193137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WEEKLY</a:t>
                </a:r>
                <a:r>
                  <a:rPr lang="en-US" b="1" baseline="0">
                    <a:solidFill>
                      <a:schemeClr val="tx1"/>
                    </a:solidFill>
                  </a:rPr>
                  <a:t> ENGAGEMENT RATE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49013135"/>
        <c:crosses val="autoZero"/>
        <c:crossBetween val="midCat"/>
      </c:valAx>
      <c:valAx>
        <c:axId val="1949013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REPEAT</a:t>
                </a:r>
                <a:r>
                  <a:rPr lang="en-US" b="1" baseline="0">
                    <a:solidFill>
                      <a:schemeClr val="tx1"/>
                    </a:solidFill>
                  </a:rPr>
                  <a:t> SONG RATE (%)</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31378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[Global-Music_Streaming_Listener_Preferences Manali.xlsx]Q.4!PivotTable15</c:name>
    <c:fmtId val="8"/>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TREND</a:t>
            </a:r>
            <a:r>
              <a:rPr lang="en-US" baseline="0">
                <a:solidFill>
                  <a:schemeClr val="tx1"/>
                </a:solidFill>
              </a:rPr>
              <a:t> OF AVERAGE REPEAT SONG %</a:t>
            </a:r>
            <a:endParaRPr lang="en-US">
              <a:solidFill>
                <a:schemeClr val="tx1"/>
              </a:solidFill>
            </a:endParaRPr>
          </a:p>
        </c:rich>
      </c:tx>
      <c:layout>
        <c:manualLayout>
          <c:xMode val="edge"/>
          <c:yMode val="edge"/>
          <c:x val="0.11921749261540328"/>
          <c:y val="0.1008311461067366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9083333333333331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134213421342132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8382838283828381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7E4-47ED-8CE2-48E605ED8303}"/>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7E4-47ED-8CE2-48E605ED8303}"/>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7E4-47ED-8CE2-48E605ED8303}"/>
              </c:ext>
            </c:extLst>
          </c:dPt>
          <c:dLbls>
            <c:dLbl>
              <c:idx val="0"/>
              <c:layout>
                <c:manualLayout>
                  <c:x val="-3.9083333333333331E-2"/>
                  <c:y val="-1.8518518518518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E4-47ED-8CE2-48E605ED8303}"/>
                </c:ext>
              </c:extLst>
            </c:dLbl>
            <c:dLbl>
              <c:idx val="1"/>
              <c:layout>
                <c:manualLayout>
                  <c:x val="-4.2134213421342132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E4-47ED-8CE2-48E605ED8303}"/>
                </c:ext>
              </c:extLst>
            </c:dLbl>
            <c:dLbl>
              <c:idx val="4"/>
              <c:layout>
                <c:manualLayout>
                  <c:x val="-2.8382838283828381E-2"/>
                  <c:y val="-1.38888888888889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E4-47ED-8CE2-48E605ED83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Q.4!$A$2:$A$7</c:f>
              <c:strCache>
                <c:ptCount val="5"/>
                <c:pt idx="0">
                  <c:v>1-100</c:v>
                </c:pt>
                <c:pt idx="1">
                  <c:v>101-200</c:v>
                </c:pt>
                <c:pt idx="2">
                  <c:v>201-300</c:v>
                </c:pt>
                <c:pt idx="3">
                  <c:v>301-400</c:v>
                </c:pt>
                <c:pt idx="4">
                  <c:v>401-500</c:v>
                </c:pt>
              </c:strCache>
            </c:strRef>
          </c:cat>
          <c:val>
            <c:numRef>
              <c:f>Q.4!$B$2:$B$7</c:f>
              <c:numCache>
                <c:formatCode>0</c:formatCode>
                <c:ptCount val="5"/>
                <c:pt idx="0">
                  <c:v>45.899860139860117</c:v>
                </c:pt>
                <c:pt idx="1">
                  <c:v>42.439999999999969</c:v>
                </c:pt>
                <c:pt idx="2">
                  <c:v>42.771776315789474</c:v>
                </c:pt>
                <c:pt idx="3">
                  <c:v>41.905771812080523</c:v>
                </c:pt>
                <c:pt idx="4">
                  <c:v>39.496050955414027</c:v>
                </c:pt>
              </c:numCache>
            </c:numRef>
          </c:val>
          <c:smooth val="0"/>
          <c:extLst>
            <c:ext xmlns:c16="http://schemas.microsoft.com/office/drawing/2014/chart" uri="{C3380CC4-5D6E-409C-BE32-E72D297353CC}">
              <c16:uniqueId val="{00000000-57E4-47ED-8CE2-48E605ED8303}"/>
            </c:ext>
          </c:extLst>
        </c:ser>
        <c:dLbls>
          <c:dLblPos val="ctr"/>
          <c:showLegendKey val="0"/>
          <c:showVal val="1"/>
          <c:showCatName val="0"/>
          <c:showSerName val="0"/>
          <c:showPercent val="0"/>
          <c:showBubbleSize val="0"/>
        </c:dLbls>
        <c:marker val="1"/>
        <c:smooth val="0"/>
        <c:axId val="929168431"/>
        <c:axId val="813406287"/>
      </c:lineChart>
      <c:catAx>
        <c:axId val="9291684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3406287"/>
        <c:crosses val="autoZero"/>
        <c:auto val="1"/>
        <c:lblAlgn val="ctr"/>
        <c:lblOffset val="100"/>
        <c:noMultiLvlLbl val="0"/>
      </c:catAx>
      <c:valAx>
        <c:axId val="81340628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2916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[Global-Music_Streaming_Listener_Preferences Manali.xlsx]Q.1!PivotTable22</c:name>
    <c:fmtId val="1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1"/>
                </a:solidFill>
              </a:rPr>
              <a:t>'LISTENERS  PREFERENCE BY ARTIST</a:t>
            </a:r>
          </a:p>
        </c:rich>
      </c:tx>
      <c:layout>
        <c:manualLayout>
          <c:xMode val="edge"/>
          <c:yMode val="edge"/>
          <c:x val="0.20198482643150345"/>
          <c:y val="9.1572279425942024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solidFill>
              <a:srgbClr val="0E2841">
                <a:lumMod val="50000"/>
                <a:lumOff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spPr>
            <a:solidFill>
              <a:sysClr val="windowText" lastClr="000000">
                <a:lumMod val="50000"/>
                <a:lumOff val="50000"/>
              </a:sys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0"/>
              <c:y val="-1.64001640016400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
              <c:y val="-1.64001640016400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layout>
            <c:manualLayout>
              <c:x val="0"/>
              <c:y val="-1.64001640016400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Q.1!$E$1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89E2-4A4F-B163-DD5A608AC20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89E2-4A4F-B163-DD5A608AC20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89E2-4A4F-B163-DD5A608AC20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89E2-4A4F-B163-DD5A608AC20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89E2-4A4F-B163-DD5A608AC201}"/>
              </c:ext>
            </c:extLst>
          </c:dPt>
          <c:dLbls>
            <c:dLbl>
              <c:idx val="3"/>
              <c:layout>
                <c:manualLayout>
                  <c:x val="0"/>
                  <c:y val="-1.64001640016400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9E2-4A4F-B163-DD5A608AC20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Q.1!$D$2:$D$7</c:f>
              <c:strCache>
                <c:ptCount val="5"/>
                <c:pt idx="0">
                  <c:v>Bad Bunny</c:v>
                </c:pt>
                <c:pt idx="1">
                  <c:v>Billie Eilish</c:v>
                </c:pt>
                <c:pt idx="2">
                  <c:v>BTS</c:v>
                </c:pt>
                <c:pt idx="3">
                  <c:v>Ed Sheeran</c:v>
                </c:pt>
                <c:pt idx="4">
                  <c:v>Taylor Swift</c:v>
                </c:pt>
              </c:strCache>
            </c:strRef>
          </c:cat>
          <c:val>
            <c:numRef>
              <c:f>Q.1!$E$2:$E$7</c:f>
              <c:numCache>
                <c:formatCode>0.00%</c:formatCode>
                <c:ptCount val="5"/>
                <c:pt idx="0">
                  <c:v>0.21522309711286089</c:v>
                </c:pt>
                <c:pt idx="1">
                  <c:v>0.1889763779527559</c:v>
                </c:pt>
                <c:pt idx="2">
                  <c:v>0.18372703412073491</c:v>
                </c:pt>
                <c:pt idx="3">
                  <c:v>0.20341207349081364</c:v>
                </c:pt>
                <c:pt idx="4">
                  <c:v>0.20866141732283464</c:v>
                </c:pt>
              </c:numCache>
            </c:numRef>
          </c:val>
          <c:extLst>
            <c:ext xmlns:c16="http://schemas.microsoft.com/office/drawing/2014/chart" uri="{C3380CC4-5D6E-409C-BE32-E72D297353CC}">
              <c16:uniqueId val="{0000000A-89E2-4A4F-B163-DD5A608AC201}"/>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2618410851737558"/>
          <c:y val="0.34064115543563417"/>
          <c:w val="0.27103826752785176"/>
          <c:h val="0.5917975563272627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[Global-Music_Streaming_Listener_Preferences Manali.xlsx]Q.2!PivotTable12</c:name>
    <c:fmtId val="8"/>
  </c:pivotSource>
  <c:chart>
    <c:title>
      <c:tx>
        <c:rich>
          <a:bodyPr rot="0" spcFirstLastPara="1" vertOverflow="ellipsis" vert="horz" wrap="square" anchor="ctr" anchorCtr="1"/>
          <a:lstStyle/>
          <a:p>
            <a:pPr>
              <a:defRPr sz="1600" b="1" i="0" u="none" strike="noStrike" kern="1200" cap="none" spc="50" normalizeH="0" baseline="0">
                <a:solidFill>
                  <a:schemeClr val="tx1">
                    <a:lumMod val="95000"/>
                    <a:lumOff val="5000"/>
                  </a:schemeClr>
                </a:solidFill>
                <a:latin typeface="+mj-lt"/>
                <a:ea typeface="+mj-ea"/>
                <a:cs typeface="+mj-cs"/>
              </a:defRPr>
            </a:pPr>
            <a:r>
              <a:rPr lang="en-US" b="1">
                <a:solidFill>
                  <a:schemeClr val="tx1">
                    <a:lumMod val="95000"/>
                    <a:lumOff val="5000"/>
                  </a:schemeClr>
                </a:solidFill>
              </a:rPr>
              <a:t>REPEAT</a:t>
            </a:r>
            <a:r>
              <a:rPr lang="en-US" b="1" baseline="0">
                <a:solidFill>
                  <a:schemeClr val="tx1">
                    <a:lumMod val="95000"/>
                    <a:lumOff val="5000"/>
                  </a:schemeClr>
                </a:solidFill>
              </a:rPr>
              <a:t> SONG RATE BY ARTIST &amp; LISTENING TIME</a:t>
            </a:r>
            <a:endParaRPr lang="en-US" b="1">
              <a:solidFill>
                <a:schemeClr val="tx1">
                  <a:lumMod val="95000"/>
                  <a:lumOff val="5000"/>
                </a:schemeClr>
              </a:solidFill>
            </a:endParaRPr>
          </a:p>
        </c:rich>
      </c:tx>
      <c:layout>
        <c:manualLayout>
          <c:xMode val="edge"/>
          <c:yMode val="edge"/>
          <c:x val="3.8378874510915198E-4"/>
          <c:y val="0.11264314197306283"/>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95000"/>
                  <a:lumOff val="5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49279595590044E-2"/>
          <c:y val="0.31422297187771292"/>
          <c:w val="0.61770193169451382"/>
          <c:h val="0.43564085739282599"/>
        </c:manualLayout>
      </c:layout>
      <c:barChart>
        <c:barDir val="col"/>
        <c:grouping val="clustered"/>
        <c:varyColors val="0"/>
        <c:ser>
          <c:idx val="0"/>
          <c:order val="0"/>
          <c:tx>
            <c:strRef>
              <c:f>Q.2!$B$1:$B$2</c:f>
              <c:strCache>
                <c:ptCount val="1"/>
                <c:pt idx="0">
                  <c:v>Afternoon</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Q.2!$A$3:$A$8</c:f>
              <c:strCache>
                <c:ptCount val="5"/>
                <c:pt idx="0">
                  <c:v>Bad Bunny</c:v>
                </c:pt>
                <c:pt idx="1">
                  <c:v>Billie Eilish</c:v>
                </c:pt>
                <c:pt idx="2">
                  <c:v>BTS</c:v>
                </c:pt>
                <c:pt idx="3">
                  <c:v>Ed Sheeran</c:v>
                </c:pt>
                <c:pt idx="4">
                  <c:v>Taylor Swift</c:v>
                </c:pt>
              </c:strCache>
            </c:strRef>
          </c:cat>
          <c:val>
            <c:numRef>
              <c:f>Q.2!$B$3:$B$8</c:f>
              <c:numCache>
                <c:formatCode>0</c:formatCode>
                <c:ptCount val="5"/>
                <c:pt idx="0">
                  <c:v>44.631521739130442</c:v>
                </c:pt>
                <c:pt idx="1">
                  <c:v>42.041395348837206</c:v>
                </c:pt>
                <c:pt idx="2">
                  <c:v>41.091951219512211</c:v>
                </c:pt>
                <c:pt idx="3">
                  <c:v>42.617333333333342</c:v>
                </c:pt>
                <c:pt idx="4">
                  <c:v>39.516603773584905</c:v>
                </c:pt>
              </c:numCache>
            </c:numRef>
          </c:val>
          <c:extLst>
            <c:ext xmlns:c16="http://schemas.microsoft.com/office/drawing/2014/chart" uri="{C3380CC4-5D6E-409C-BE32-E72D297353CC}">
              <c16:uniqueId val="{00000000-5C68-49B4-8E89-9A4AA72E7762}"/>
            </c:ext>
          </c:extLst>
        </c:ser>
        <c:ser>
          <c:idx val="1"/>
          <c:order val="1"/>
          <c:tx>
            <c:strRef>
              <c:f>Q.2!$C$1:$C$2</c:f>
              <c:strCache>
                <c:ptCount val="1"/>
                <c:pt idx="0">
                  <c:v>Morning</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Q.2!$A$3:$A$8</c:f>
              <c:strCache>
                <c:ptCount val="5"/>
                <c:pt idx="0">
                  <c:v>Bad Bunny</c:v>
                </c:pt>
                <c:pt idx="1">
                  <c:v>Billie Eilish</c:v>
                </c:pt>
                <c:pt idx="2">
                  <c:v>BTS</c:v>
                </c:pt>
                <c:pt idx="3">
                  <c:v>Ed Sheeran</c:v>
                </c:pt>
                <c:pt idx="4">
                  <c:v>Taylor Swift</c:v>
                </c:pt>
              </c:strCache>
            </c:strRef>
          </c:cat>
          <c:val>
            <c:numRef>
              <c:f>Q.2!$C$3:$C$8</c:f>
              <c:numCache>
                <c:formatCode>0</c:formatCode>
                <c:ptCount val="5"/>
                <c:pt idx="0">
                  <c:v>46.253220338983034</c:v>
                </c:pt>
                <c:pt idx="1">
                  <c:v>45.183958333333329</c:v>
                </c:pt>
                <c:pt idx="2">
                  <c:v>44.475531914893608</c:v>
                </c:pt>
                <c:pt idx="3">
                  <c:v>41.190377358490558</c:v>
                </c:pt>
                <c:pt idx="4">
                  <c:v>40.530000000000008</c:v>
                </c:pt>
              </c:numCache>
            </c:numRef>
          </c:val>
          <c:extLst>
            <c:ext xmlns:c16="http://schemas.microsoft.com/office/drawing/2014/chart" uri="{C3380CC4-5D6E-409C-BE32-E72D297353CC}">
              <c16:uniqueId val="{00000001-7DED-4B89-9791-79DC719C5F91}"/>
            </c:ext>
          </c:extLst>
        </c:ser>
        <c:ser>
          <c:idx val="2"/>
          <c:order val="2"/>
          <c:tx>
            <c:strRef>
              <c:f>Q.2!$D$1:$D$2</c:f>
              <c:strCache>
                <c:ptCount val="1"/>
                <c:pt idx="0">
                  <c:v>Night</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Q.2!$A$3:$A$8</c:f>
              <c:strCache>
                <c:ptCount val="5"/>
                <c:pt idx="0">
                  <c:v>Bad Bunny</c:v>
                </c:pt>
                <c:pt idx="1">
                  <c:v>Billie Eilish</c:v>
                </c:pt>
                <c:pt idx="2">
                  <c:v>BTS</c:v>
                </c:pt>
                <c:pt idx="3">
                  <c:v>Ed Sheeran</c:v>
                </c:pt>
                <c:pt idx="4">
                  <c:v>Taylor Swift</c:v>
                </c:pt>
              </c:strCache>
            </c:strRef>
          </c:cat>
          <c:val>
            <c:numRef>
              <c:f>Q.2!$D$3:$D$8</c:f>
              <c:numCache>
                <c:formatCode>0</c:formatCode>
                <c:ptCount val="5"/>
                <c:pt idx="0">
                  <c:v>40.792372881355917</c:v>
                </c:pt>
                <c:pt idx="1">
                  <c:v>45.295660377358494</c:v>
                </c:pt>
                <c:pt idx="2">
                  <c:v>41.556730769230775</c:v>
                </c:pt>
                <c:pt idx="3">
                  <c:v>40.265238095238104</c:v>
                </c:pt>
                <c:pt idx="4">
                  <c:v>40.842499999999994</c:v>
                </c:pt>
              </c:numCache>
            </c:numRef>
          </c:val>
          <c:extLst>
            <c:ext xmlns:c16="http://schemas.microsoft.com/office/drawing/2014/chart" uri="{C3380CC4-5D6E-409C-BE32-E72D297353CC}">
              <c16:uniqueId val="{00000002-7DED-4B89-9791-79DC719C5F91}"/>
            </c:ext>
          </c:extLst>
        </c:ser>
        <c:dLbls>
          <c:dLblPos val="outEnd"/>
          <c:showLegendKey val="0"/>
          <c:showVal val="1"/>
          <c:showCatName val="0"/>
          <c:showSerName val="0"/>
          <c:showPercent val="0"/>
          <c:showBubbleSize val="0"/>
        </c:dLbls>
        <c:gapWidth val="80"/>
        <c:overlap val="25"/>
        <c:axId val="432737136"/>
        <c:axId val="1948960815"/>
      </c:barChart>
      <c:catAx>
        <c:axId val="4327371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lumMod val="95000"/>
                    <a:lumOff val="5000"/>
                  </a:schemeClr>
                </a:solidFill>
                <a:latin typeface="+mn-lt"/>
                <a:ea typeface="+mn-ea"/>
                <a:cs typeface="+mn-cs"/>
              </a:defRPr>
            </a:pPr>
            <a:endParaRPr lang="en-US"/>
          </a:p>
        </c:txPr>
        <c:crossAx val="1948960815"/>
        <c:crosses val="autoZero"/>
        <c:auto val="1"/>
        <c:lblAlgn val="ctr"/>
        <c:lblOffset val="100"/>
        <c:noMultiLvlLbl val="0"/>
      </c:catAx>
      <c:valAx>
        <c:axId val="1948960815"/>
        <c:scaling>
          <c:orientation val="minMax"/>
        </c:scaling>
        <c:delete val="0"/>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tx1">
                    <a:lumMod val="95000"/>
                    <a:lumOff val="5000"/>
                  </a:schemeClr>
                </a:solidFill>
                <a:latin typeface="+mn-lt"/>
                <a:ea typeface="+mn-ea"/>
                <a:cs typeface="+mn-cs"/>
              </a:defRPr>
            </a:pPr>
            <a:endParaRPr lang="en-US"/>
          </a:p>
        </c:txPr>
        <c:crossAx val="432737136"/>
        <c:crosses val="autoZero"/>
        <c:crossBetween val="between"/>
      </c:valAx>
      <c:spPr>
        <a:noFill/>
        <a:ln>
          <a:noFill/>
        </a:ln>
        <a:effectLst/>
      </c:spPr>
    </c:plotArea>
    <c:legend>
      <c:legendPos val="r"/>
      <c:layout>
        <c:manualLayout>
          <c:xMode val="edge"/>
          <c:yMode val="edge"/>
          <c:x val="0.77896341463414642"/>
          <c:y val="0.68937554680664925"/>
          <c:w val="0.22103663057332884"/>
          <c:h val="0.310624337155940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WEEKLY ENGAGEMENT</a:t>
            </a:r>
            <a:r>
              <a:rPr lang="en-US" b="1" baseline="0">
                <a:solidFill>
                  <a:schemeClr val="tx1"/>
                </a:solidFill>
              </a:rPr>
              <a:t> Vs. REPEAT SONG RATE</a:t>
            </a:r>
            <a:endParaRPr lang="en-US" b="1">
              <a:solidFill>
                <a:schemeClr val="tx1"/>
              </a:solidFill>
            </a:endParaRPr>
          </a:p>
        </c:rich>
      </c:tx>
      <c:layout>
        <c:manualLayout>
          <c:xMode val="edge"/>
          <c:yMode val="edge"/>
          <c:x val="0.10964889686222939"/>
          <c:y val="1.47130519332743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565215950497002"/>
          <c:y val="0.25975439177371606"/>
          <c:w val="0.79130256084517703"/>
          <c:h val="0.57447429408283968"/>
        </c:manualLayout>
      </c:layout>
      <c:scatterChart>
        <c:scatterStyle val="lineMarker"/>
        <c:varyColors val="0"/>
        <c:ser>
          <c:idx val="0"/>
          <c:order val="0"/>
          <c:tx>
            <c:strRef>
              <c:f>Q.3!$B$1</c:f>
              <c:strCache>
                <c:ptCount val="1"/>
                <c:pt idx="0">
                  <c:v>Repeat Song Rate (%)</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60325" cap="rnd">
                <a:solidFill>
                  <a:schemeClr val="bg2">
                    <a:lumMod val="10000"/>
                  </a:schemeClr>
                </a:solidFill>
                <a:prstDash val="sysDot"/>
              </a:ln>
              <a:effectLst/>
            </c:spPr>
            <c:trendlineType val="linear"/>
            <c:dispRSqr val="0"/>
            <c:dispEq val="0"/>
          </c:trendline>
          <c:xVal>
            <c:numRef>
              <c:f>Q.3!$A$2:$A$763</c:f>
              <c:numCache>
                <c:formatCode>General</c:formatCode>
                <c:ptCount val="762"/>
                <c:pt idx="0">
                  <c:v>11.92</c:v>
                </c:pt>
                <c:pt idx="1">
                  <c:v>87.77</c:v>
                </c:pt>
                <c:pt idx="2">
                  <c:v>88.44</c:v>
                </c:pt>
                <c:pt idx="3">
                  <c:v>27.4</c:v>
                </c:pt>
                <c:pt idx="4">
                  <c:v>85</c:v>
                </c:pt>
                <c:pt idx="5">
                  <c:v>35.53</c:v>
                </c:pt>
                <c:pt idx="6">
                  <c:v>32.01</c:v>
                </c:pt>
                <c:pt idx="7">
                  <c:v>33.21</c:v>
                </c:pt>
                <c:pt idx="8">
                  <c:v>24.8</c:v>
                </c:pt>
                <c:pt idx="9">
                  <c:v>11.74</c:v>
                </c:pt>
                <c:pt idx="10">
                  <c:v>53.63</c:v>
                </c:pt>
                <c:pt idx="11">
                  <c:v>25.42</c:v>
                </c:pt>
                <c:pt idx="12">
                  <c:v>19.66</c:v>
                </c:pt>
                <c:pt idx="13">
                  <c:v>43.81</c:v>
                </c:pt>
                <c:pt idx="14">
                  <c:v>58.36</c:v>
                </c:pt>
                <c:pt idx="15">
                  <c:v>45.38</c:v>
                </c:pt>
                <c:pt idx="16">
                  <c:v>30.14</c:v>
                </c:pt>
                <c:pt idx="17">
                  <c:v>63.28</c:v>
                </c:pt>
                <c:pt idx="18">
                  <c:v>63.51</c:v>
                </c:pt>
                <c:pt idx="19">
                  <c:v>43.17</c:v>
                </c:pt>
                <c:pt idx="20">
                  <c:v>25.58</c:v>
                </c:pt>
                <c:pt idx="21">
                  <c:v>44.31</c:v>
                </c:pt>
                <c:pt idx="22">
                  <c:v>61.93</c:v>
                </c:pt>
                <c:pt idx="23">
                  <c:v>19.05</c:v>
                </c:pt>
                <c:pt idx="24">
                  <c:v>49.22</c:v>
                </c:pt>
                <c:pt idx="25">
                  <c:v>76.78</c:v>
                </c:pt>
                <c:pt idx="26">
                  <c:v>70.83</c:v>
                </c:pt>
                <c:pt idx="27">
                  <c:v>30.64</c:v>
                </c:pt>
                <c:pt idx="28">
                  <c:v>49.49</c:v>
                </c:pt>
                <c:pt idx="29">
                  <c:v>73.11</c:v>
                </c:pt>
                <c:pt idx="30">
                  <c:v>85.39</c:v>
                </c:pt>
                <c:pt idx="31">
                  <c:v>49.2</c:v>
                </c:pt>
                <c:pt idx="32">
                  <c:v>24.79</c:v>
                </c:pt>
                <c:pt idx="33">
                  <c:v>59.28</c:v>
                </c:pt>
                <c:pt idx="34">
                  <c:v>55.32</c:v>
                </c:pt>
                <c:pt idx="35">
                  <c:v>69.77</c:v>
                </c:pt>
                <c:pt idx="36">
                  <c:v>11.98</c:v>
                </c:pt>
                <c:pt idx="37">
                  <c:v>72.34</c:v>
                </c:pt>
                <c:pt idx="38">
                  <c:v>83.19</c:v>
                </c:pt>
                <c:pt idx="39">
                  <c:v>11.84</c:v>
                </c:pt>
                <c:pt idx="40">
                  <c:v>70.05</c:v>
                </c:pt>
                <c:pt idx="41">
                  <c:v>74.86</c:v>
                </c:pt>
                <c:pt idx="42">
                  <c:v>38.68</c:v>
                </c:pt>
                <c:pt idx="43">
                  <c:v>88.99</c:v>
                </c:pt>
                <c:pt idx="44">
                  <c:v>17.809999999999999</c:v>
                </c:pt>
                <c:pt idx="45">
                  <c:v>14.84</c:v>
                </c:pt>
                <c:pt idx="46">
                  <c:v>10.55</c:v>
                </c:pt>
                <c:pt idx="47">
                  <c:v>67.08</c:v>
                </c:pt>
                <c:pt idx="48">
                  <c:v>89</c:v>
                </c:pt>
                <c:pt idx="49">
                  <c:v>84.38</c:v>
                </c:pt>
                <c:pt idx="50">
                  <c:v>54.28</c:v>
                </c:pt>
                <c:pt idx="51">
                  <c:v>31.79</c:v>
                </c:pt>
                <c:pt idx="52">
                  <c:v>50.08</c:v>
                </c:pt>
                <c:pt idx="53">
                  <c:v>87.81</c:v>
                </c:pt>
                <c:pt idx="54">
                  <c:v>44.42</c:v>
                </c:pt>
                <c:pt idx="55">
                  <c:v>77.31</c:v>
                </c:pt>
                <c:pt idx="56">
                  <c:v>68.239999999999995</c:v>
                </c:pt>
                <c:pt idx="57">
                  <c:v>78.78</c:v>
                </c:pt>
                <c:pt idx="58">
                  <c:v>18.36</c:v>
                </c:pt>
                <c:pt idx="59">
                  <c:v>21.03</c:v>
                </c:pt>
                <c:pt idx="60">
                  <c:v>50.42</c:v>
                </c:pt>
                <c:pt idx="61">
                  <c:v>15.03</c:v>
                </c:pt>
                <c:pt idx="62">
                  <c:v>71.319999999999993</c:v>
                </c:pt>
                <c:pt idx="63">
                  <c:v>31.83</c:v>
                </c:pt>
                <c:pt idx="64">
                  <c:v>57.27</c:v>
                </c:pt>
                <c:pt idx="65">
                  <c:v>27.33</c:v>
                </c:pt>
                <c:pt idx="66">
                  <c:v>61.21</c:v>
                </c:pt>
                <c:pt idx="67">
                  <c:v>75.41</c:v>
                </c:pt>
                <c:pt idx="68">
                  <c:v>71.400000000000006</c:v>
                </c:pt>
                <c:pt idx="69">
                  <c:v>46.61</c:v>
                </c:pt>
                <c:pt idx="70">
                  <c:v>68.89</c:v>
                </c:pt>
                <c:pt idx="71">
                  <c:v>43.73</c:v>
                </c:pt>
                <c:pt idx="72">
                  <c:v>88.61</c:v>
                </c:pt>
                <c:pt idx="73">
                  <c:v>23.44</c:v>
                </c:pt>
                <c:pt idx="74">
                  <c:v>56.12</c:v>
                </c:pt>
                <c:pt idx="75">
                  <c:v>71.78</c:v>
                </c:pt>
                <c:pt idx="76">
                  <c:v>79.37</c:v>
                </c:pt>
                <c:pt idx="77">
                  <c:v>23.56</c:v>
                </c:pt>
                <c:pt idx="78">
                  <c:v>43.07</c:v>
                </c:pt>
                <c:pt idx="79">
                  <c:v>46.14</c:v>
                </c:pt>
                <c:pt idx="80">
                  <c:v>86.18</c:v>
                </c:pt>
                <c:pt idx="81">
                  <c:v>19.02</c:v>
                </c:pt>
                <c:pt idx="82">
                  <c:v>43.82</c:v>
                </c:pt>
                <c:pt idx="83">
                  <c:v>69.260000000000005</c:v>
                </c:pt>
                <c:pt idx="84">
                  <c:v>85.43</c:v>
                </c:pt>
                <c:pt idx="85">
                  <c:v>49.19</c:v>
                </c:pt>
                <c:pt idx="86">
                  <c:v>47.47</c:v>
                </c:pt>
                <c:pt idx="87">
                  <c:v>45.97</c:v>
                </c:pt>
                <c:pt idx="88">
                  <c:v>81.02</c:v>
                </c:pt>
                <c:pt idx="89">
                  <c:v>40.520000000000003</c:v>
                </c:pt>
                <c:pt idx="90">
                  <c:v>71.19</c:v>
                </c:pt>
                <c:pt idx="91">
                  <c:v>34.58</c:v>
                </c:pt>
                <c:pt idx="92">
                  <c:v>31</c:v>
                </c:pt>
                <c:pt idx="93">
                  <c:v>72.900000000000006</c:v>
                </c:pt>
                <c:pt idx="94">
                  <c:v>16.940000000000001</c:v>
                </c:pt>
                <c:pt idx="95">
                  <c:v>78.87</c:v>
                </c:pt>
                <c:pt idx="96">
                  <c:v>30.74</c:v>
                </c:pt>
                <c:pt idx="97">
                  <c:v>86.18</c:v>
                </c:pt>
                <c:pt idx="98">
                  <c:v>15</c:v>
                </c:pt>
                <c:pt idx="99">
                  <c:v>37.33</c:v>
                </c:pt>
                <c:pt idx="100">
                  <c:v>36.26</c:v>
                </c:pt>
                <c:pt idx="101">
                  <c:v>26.86</c:v>
                </c:pt>
                <c:pt idx="102">
                  <c:v>76.86</c:v>
                </c:pt>
                <c:pt idx="103">
                  <c:v>42.49</c:v>
                </c:pt>
                <c:pt idx="104">
                  <c:v>72.89</c:v>
                </c:pt>
                <c:pt idx="105">
                  <c:v>29.75</c:v>
                </c:pt>
                <c:pt idx="106">
                  <c:v>61.38</c:v>
                </c:pt>
                <c:pt idx="107">
                  <c:v>33.94</c:v>
                </c:pt>
                <c:pt idx="108">
                  <c:v>23.3</c:v>
                </c:pt>
                <c:pt idx="109">
                  <c:v>33.299999999999997</c:v>
                </c:pt>
                <c:pt idx="110">
                  <c:v>72.27</c:v>
                </c:pt>
                <c:pt idx="111">
                  <c:v>88.11</c:v>
                </c:pt>
                <c:pt idx="112">
                  <c:v>33.74</c:v>
                </c:pt>
                <c:pt idx="113">
                  <c:v>60.42</c:v>
                </c:pt>
                <c:pt idx="114">
                  <c:v>49.61</c:v>
                </c:pt>
                <c:pt idx="115">
                  <c:v>65.33</c:v>
                </c:pt>
                <c:pt idx="116">
                  <c:v>62.8</c:v>
                </c:pt>
                <c:pt idx="117">
                  <c:v>57.83</c:v>
                </c:pt>
                <c:pt idx="118">
                  <c:v>84.8</c:v>
                </c:pt>
                <c:pt idx="119">
                  <c:v>72.989999999999995</c:v>
                </c:pt>
                <c:pt idx="120">
                  <c:v>11.26</c:v>
                </c:pt>
                <c:pt idx="121">
                  <c:v>16.11</c:v>
                </c:pt>
                <c:pt idx="122">
                  <c:v>80.44</c:v>
                </c:pt>
                <c:pt idx="123">
                  <c:v>39.880000000000003</c:v>
                </c:pt>
                <c:pt idx="124">
                  <c:v>27.72</c:v>
                </c:pt>
                <c:pt idx="125">
                  <c:v>27.74</c:v>
                </c:pt>
                <c:pt idx="126">
                  <c:v>48.03</c:v>
                </c:pt>
                <c:pt idx="127">
                  <c:v>72.8</c:v>
                </c:pt>
                <c:pt idx="128">
                  <c:v>30.05</c:v>
                </c:pt>
                <c:pt idx="129">
                  <c:v>56.66</c:v>
                </c:pt>
                <c:pt idx="130">
                  <c:v>69.34</c:v>
                </c:pt>
                <c:pt idx="131">
                  <c:v>68.459999999999994</c:v>
                </c:pt>
                <c:pt idx="132">
                  <c:v>62.49</c:v>
                </c:pt>
                <c:pt idx="133">
                  <c:v>12.11</c:v>
                </c:pt>
                <c:pt idx="134">
                  <c:v>24.29</c:v>
                </c:pt>
                <c:pt idx="135">
                  <c:v>33.83</c:v>
                </c:pt>
                <c:pt idx="136">
                  <c:v>49.76</c:v>
                </c:pt>
                <c:pt idx="137">
                  <c:v>24.47</c:v>
                </c:pt>
                <c:pt idx="138">
                  <c:v>80.040000000000006</c:v>
                </c:pt>
                <c:pt idx="139">
                  <c:v>55.82</c:v>
                </c:pt>
                <c:pt idx="140">
                  <c:v>45.57</c:v>
                </c:pt>
                <c:pt idx="141">
                  <c:v>78.2</c:v>
                </c:pt>
                <c:pt idx="142">
                  <c:v>11.3</c:v>
                </c:pt>
                <c:pt idx="143">
                  <c:v>57.5</c:v>
                </c:pt>
                <c:pt idx="144">
                  <c:v>87.65</c:v>
                </c:pt>
                <c:pt idx="145">
                  <c:v>20.059999999999999</c:v>
                </c:pt>
                <c:pt idx="146">
                  <c:v>84.48</c:v>
                </c:pt>
                <c:pt idx="147">
                  <c:v>54.79</c:v>
                </c:pt>
                <c:pt idx="148">
                  <c:v>35.340000000000003</c:v>
                </c:pt>
                <c:pt idx="149">
                  <c:v>34.659999999999997</c:v>
                </c:pt>
                <c:pt idx="150">
                  <c:v>85.99</c:v>
                </c:pt>
                <c:pt idx="151">
                  <c:v>81.77</c:v>
                </c:pt>
                <c:pt idx="152">
                  <c:v>60.83</c:v>
                </c:pt>
                <c:pt idx="153">
                  <c:v>68.11</c:v>
                </c:pt>
                <c:pt idx="154">
                  <c:v>17.87</c:v>
                </c:pt>
                <c:pt idx="155">
                  <c:v>35.31</c:v>
                </c:pt>
                <c:pt idx="156">
                  <c:v>69.010000000000005</c:v>
                </c:pt>
                <c:pt idx="157">
                  <c:v>31.46</c:v>
                </c:pt>
                <c:pt idx="158">
                  <c:v>51.18</c:v>
                </c:pt>
                <c:pt idx="159">
                  <c:v>67.33</c:v>
                </c:pt>
                <c:pt idx="160">
                  <c:v>84.14</c:v>
                </c:pt>
                <c:pt idx="161">
                  <c:v>26.22</c:v>
                </c:pt>
                <c:pt idx="162">
                  <c:v>84.4</c:v>
                </c:pt>
                <c:pt idx="163">
                  <c:v>89.39</c:v>
                </c:pt>
                <c:pt idx="164">
                  <c:v>60.49</c:v>
                </c:pt>
                <c:pt idx="165">
                  <c:v>71.37</c:v>
                </c:pt>
                <c:pt idx="166">
                  <c:v>46.96</c:v>
                </c:pt>
                <c:pt idx="167">
                  <c:v>55.13</c:v>
                </c:pt>
                <c:pt idx="168">
                  <c:v>55.98</c:v>
                </c:pt>
                <c:pt idx="169">
                  <c:v>48.88</c:v>
                </c:pt>
                <c:pt idx="170">
                  <c:v>46.16</c:v>
                </c:pt>
                <c:pt idx="171">
                  <c:v>12.02</c:v>
                </c:pt>
                <c:pt idx="172">
                  <c:v>26.33</c:v>
                </c:pt>
                <c:pt idx="173">
                  <c:v>39.67</c:v>
                </c:pt>
                <c:pt idx="174">
                  <c:v>77.83</c:v>
                </c:pt>
                <c:pt idx="175">
                  <c:v>40.17</c:v>
                </c:pt>
                <c:pt idx="176">
                  <c:v>76.790000000000006</c:v>
                </c:pt>
                <c:pt idx="177">
                  <c:v>12.17</c:v>
                </c:pt>
                <c:pt idx="178">
                  <c:v>47.09</c:v>
                </c:pt>
                <c:pt idx="179">
                  <c:v>10.55</c:v>
                </c:pt>
                <c:pt idx="180">
                  <c:v>46.76</c:v>
                </c:pt>
                <c:pt idx="181">
                  <c:v>35.409999999999997</c:v>
                </c:pt>
                <c:pt idx="182">
                  <c:v>50.97</c:v>
                </c:pt>
                <c:pt idx="183">
                  <c:v>18.170000000000002</c:v>
                </c:pt>
                <c:pt idx="184">
                  <c:v>70.239999999999995</c:v>
                </c:pt>
                <c:pt idx="185">
                  <c:v>11.2</c:v>
                </c:pt>
                <c:pt idx="186">
                  <c:v>79.41</c:v>
                </c:pt>
                <c:pt idx="187">
                  <c:v>77.959999999999994</c:v>
                </c:pt>
                <c:pt idx="188">
                  <c:v>53.68</c:v>
                </c:pt>
                <c:pt idx="189">
                  <c:v>28.72</c:v>
                </c:pt>
                <c:pt idx="190">
                  <c:v>34.549999999999997</c:v>
                </c:pt>
                <c:pt idx="191">
                  <c:v>55.7</c:v>
                </c:pt>
                <c:pt idx="192">
                  <c:v>19.8</c:v>
                </c:pt>
                <c:pt idx="193">
                  <c:v>68.319999999999993</c:v>
                </c:pt>
                <c:pt idx="194">
                  <c:v>71.98</c:v>
                </c:pt>
                <c:pt idx="195">
                  <c:v>33.53</c:v>
                </c:pt>
                <c:pt idx="196">
                  <c:v>73.84</c:v>
                </c:pt>
                <c:pt idx="197">
                  <c:v>18.34</c:v>
                </c:pt>
                <c:pt idx="198">
                  <c:v>16.23</c:v>
                </c:pt>
                <c:pt idx="199">
                  <c:v>36.5</c:v>
                </c:pt>
                <c:pt idx="200">
                  <c:v>72.48</c:v>
                </c:pt>
                <c:pt idx="201">
                  <c:v>58.15</c:v>
                </c:pt>
                <c:pt idx="202">
                  <c:v>33.24</c:v>
                </c:pt>
                <c:pt idx="203">
                  <c:v>52.37</c:v>
                </c:pt>
                <c:pt idx="204">
                  <c:v>47.08</c:v>
                </c:pt>
                <c:pt idx="205">
                  <c:v>65.48</c:v>
                </c:pt>
                <c:pt idx="206">
                  <c:v>87.1</c:v>
                </c:pt>
                <c:pt idx="207">
                  <c:v>37.69</c:v>
                </c:pt>
                <c:pt idx="208">
                  <c:v>15.9</c:v>
                </c:pt>
                <c:pt idx="209">
                  <c:v>40.31</c:v>
                </c:pt>
                <c:pt idx="210">
                  <c:v>21.66</c:v>
                </c:pt>
                <c:pt idx="211">
                  <c:v>73.91</c:v>
                </c:pt>
                <c:pt idx="212">
                  <c:v>89.04</c:v>
                </c:pt>
                <c:pt idx="213">
                  <c:v>38.479999999999997</c:v>
                </c:pt>
                <c:pt idx="214">
                  <c:v>47.31</c:v>
                </c:pt>
                <c:pt idx="215">
                  <c:v>59.1</c:v>
                </c:pt>
                <c:pt idx="216">
                  <c:v>15.81</c:v>
                </c:pt>
                <c:pt idx="217">
                  <c:v>36.450000000000003</c:v>
                </c:pt>
                <c:pt idx="218">
                  <c:v>59.14</c:v>
                </c:pt>
                <c:pt idx="219">
                  <c:v>78.040000000000006</c:v>
                </c:pt>
                <c:pt idx="220">
                  <c:v>85</c:v>
                </c:pt>
                <c:pt idx="221">
                  <c:v>76.459999999999994</c:v>
                </c:pt>
                <c:pt idx="222">
                  <c:v>27.35</c:v>
                </c:pt>
                <c:pt idx="223">
                  <c:v>59.45</c:v>
                </c:pt>
                <c:pt idx="224">
                  <c:v>54.98</c:v>
                </c:pt>
                <c:pt idx="225">
                  <c:v>61.88</c:v>
                </c:pt>
                <c:pt idx="226">
                  <c:v>73.02</c:v>
                </c:pt>
                <c:pt idx="227">
                  <c:v>25.97</c:v>
                </c:pt>
                <c:pt idx="228">
                  <c:v>15.22</c:v>
                </c:pt>
                <c:pt idx="229">
                  <c:v>58.58</c:v>
                </c:pt>
                <c:pt idx="230">
                  <c:v>37.159999999999997</c:v>
                </c:pt>
                <c:pt idx="231">
                  <c:v>54.45</c:v>
                </c:pt>
                <c:pt idx="232">
                  <c:v>63.72</c:v>
                </c:pt>
                <c:pt idx="233">
                  <c:v>33.46</c:v>
                </c:pt>
                <c:pt idx="234">
                  <c:v>28.63</c:v>
                </c:pt>
                <c:pt idx="235">
                  <c:v>34.56</c:v>
                </c:pt>
                <c:pt idx="236">
                  <c:v>53.28</c:v>
                </c:pt>
                <c:pt idx="237">
                  <c:v>55.99</c:v>
                </c:pt>
                <c:pt idx="238">
                  <c:v>25.1</c:v>
                </c:pt>
                <c:pt idx="239">
                  <c:v>83.46</c:v>
                </c:pt>
                <c:pt idx="240">
                  <c:v>18.940000000000001</c:v>
                </c:pt>
                <c:pt idx="241">
                  <c:v>10.24</c:v>
                </c:pt>
                <c:pt idx="242">
                  <c:v>15.79</c:v>
                </c:pt>
                <c:pt idx="243">
                  <c:v>30.76</c:v>
                </c:pt>
                <c:pt idx="244">
                  <c:v>13.78</c:v>
                </c:pt>
                <c:pt idx="245">
                  <c:v>75.88</c:v>
                </c:pt>
                <c:pt idx="246">
                  <c:v>43.46</c:v>
                </c:pt>
                <c:pt idx="247">
                  <c:v>76.66</c:v>
                </c:pt>
                <c:pt idx="248">
                  <c:v>57.22</c:v>
                </c:pt>
                <c:pt idx="249">
                  <c:v>58.95</c:v>
                </c:pt>
                <c:pt idx="250">
                  <c:v>62.26</c:v>
                </c:pt>
                <c:pt idx="251">
                  <c:v>79.88</c:v>
                </c:pt>
                <c:pt idx="252">
                  <c:v>15.48</c:v>
                </c:pt>
                <c:pt idx="253">
                  <c:v>71.41</c:v>
                </c:pt>
                <c:pt idx="254">
                  <c:v>41.31</c:v>
                </c:pt>
                <c:pt idx="255">
                  <c:v>23.47</c:v>
                </c:pt>
                <c:pt idx="256">
                  <c:v>87.61</c:v>
                </c:pt>
                <c:pt idx="257">
                  <c:v>19.02</c:v>
                </c:pt>
                <c:pt idx="258">
                  <c:v>59.4</c:v>
                </c:pt>
                <c:pt idx="259">
                  <c:v>49.39</c:v>
                </c:pt>
                <c:pt idx="260">
                  <c:v>25.59</c:v>
                </c:pt>
                <c:pt idx="261">
                  <c:v>76.42</c:v>
                </c:pt>
                <c:pt idx="262">
                  <c:v>57.73</c:v>
                </c:pt>
                <c:pt idx="263">
                  <c:v>54.57</c:v>
                </c:pt>
                <c:pt idx="264">
                  <c:v>46.87</c:v>
                </c:pt>
                <c:pt idx="265">
                  <c:v>45.1</c:v>
                </c:pt>
                <c:pt idx="266">
                  <c:v>26.42</c:v>
                </c:pt>
                <c:pt idx="267">
                  <c:v>46.4</c:v>
                </c:pt>
                <c:pt idx="268">
                  <c:v>22.73</c:v>
                </c:pt>
                <c:pt idx="269">
                  <c:v>86.1</c:v>
                </c:pt>
                <c:pt idx="270">
                  <c:v>18.27</c:v>
                </c:pt>
                <c:pt idx="271">
                  <c:v>36.44</c:v>
                </c:pt>
                <c:pt idx="272">
                  <c:v>69.66</c:v>
                </c:pt>
                <c:pt idx="273">
                  <c:v>61.62</c:v>
                </c:pt>
                <c:pt idx="274">
                  <c:v>10.28</c:v>
                </c:pt>
                <c:pt idx="275">
                  <c:v>45.35</c:v>
                </c:pt>
                <c:pt idx="276">
                  <c:v>67.77</c:v>
                </c:pt>
                <c:pt idx="277">
                  <c:v>38.53</c:v>
                </c:pt>
                <c:pt idx="278">
                  <c:v>18.41</c:v>
                </c:pt>
                <c:pt idx="279">
                  <c:v>16.920000000000002</c:v>
                </c:pt>
                <c:pt idx="280">
                  <c:v>76.66</c:v>
                </c:pt>
                <c:pt idx="281">
                  <c:v>74.510000000000005</c:v>
                </c:pt>
                <c:pt idx="282">
                  <c:v>56.24</c:v>
                </c:pt>
                <c:pt idx="283">
                  <c:v>57.91</c:v>
                </c:pt>
                <c:pt idx="284">
                  <c:v>64</c:v>
                </c:pt>
                <c:pt idx="285">
                  <c:v>49.57</c:v>
                </c:pt>
                <c:pt idx="286">
                  <c:v>23.25</c:v>
                </c:pt>
                <c:pt idx="287">
                  <c:v>87.53</c:v>
                </c:pt>
                <c:pt idx="288">
                  <c:v>76.430000000000007</c:v>
                </c:pt>
                <c:pt idx="289">
                  <c:v>30.82</c:v>
                </c:pt>
                <c:pt idx="290">
                  <c:v>36.46</c:v>
                </c:pt>
                <c:pt idx="291">
                  <c:v>53.51</c:v>
                </c:pt>
                <c:pt idx="292">
                  <c:v>86.43</c:v>
                </c:pt>
                <c:pt idx="293">
                  <c:v>44.02</c:v>
                </c:pt>
                <c:pt idx="294">
                  <c:v>60.61</c:v>
                </c:pt>
                <c:pt idx="295">
                  <c:v>64.13</c:v>
                </c:pt>
                <c:pt idx="296">
                  <c:v>11.99</c:v>
                </c:pt>
                <c:pt idx="297">
                  <c:v>37.729999999999997</c:v>
                </c:pt>
                <c:pt idx="298">
                  <c:v>78.63</c:v>
                </c:pt>
                <c:pt idx="299">
                  <c:v>56.8</c:v>
                </c:pt>
                <c:pt idx="300">
                  <c:v>24</c:v>
                </c:pt>
                <c:pt idx="301">
                  <c:v>38.549999999999997</c:v>
                </c:pt>
                <c:pt idx="302">
                  <c:v>41.72</c:v>
                </c:pt>
                <c:pt idx="303">
                  <c:v>59.66</c:v>
                </c:pt>
                <c:pt idx="304">
                  <c:v>59.88</c:v>
                </c:pt>
                <c:pt idx="305">
                  <c:v>54.44</c:v>
                </c:pt>
                <c:pt idx="306">
                  <c:v>84.36</c:v>
                </c:pt>
                <c:pt idx="307">
                  <c:v>71.650000000000006</c:v>
                </c:pt>
                <c:pt idx="308">
                  <c:v>80.290000000000006</c:v>
                </c:pt>
                <c:pt idx="309">
                  <c:v>47.21</c:v>
                </c:pt>
                <c:pt idx="310">
                  <c:v>14.74</c:v>
                </c:pt>
                <c:pt idx="311">
                  <c:v>71.900000000000006</c:v>
                </c:pt>
                <c:pt idx="312">
                  <c:v>58.42</c:v>
                </c:pt>
                <c:pt idx="313">
                  <c:v>36.229999999999997</c:v>
                </c:pt>
                <c:pt idx="314">
                  <c:v>23.01</c:v>
                </c:pt>
                <c:pt idx="315">
                  <c:v>59.96</c:v>
                </c:pt>
                <c:pt idx="316">
                  <c:v>63.86</c:v>
                </c:pt>
                <c:pt idx="317">
                  <c:v>89.47</c:v>
                </c:pt>
                <c:pt idx="318">
                  <c:v>17.18</c:v>
                </c:pt>
                <c:pt idx="319">
                  <c:v>87</c:v>
                </c:pt>
                <c:pt idx="320">
                  <c:v>41.41</c:v>
                </c:pt>
                <c:pt idx="321">
                  <c:v>31.41</c:v>
                </c:pt>
                <c:pt idx="322">
                  <c:v>87.51</c:v>
                </c:pt>
                <c:pt idx="323">
                  <c:v>48.35</c:v>
                </c:pt>
                <c:pt idx="324">
                  <c:v>65.989999999999995</c:v>
                </c:pt>
                <c:pt idx="325">
                  <c:v>26.65</c:v>
                </c:pt>
                <c:pt idx="326">
                  <c:v>12.3</c:v>
                </c:pt>
                <c:pt idx="327">
                  <c:v>59.4</c:v>
                </c:pt>
                <c:pt idx="328">
                  <c:v>28.54</c:v>
                </c:pt>
                <c:pt idx="329">
                  <c:v>39.94</c:v>
                </c:pt>
                <c:pt idx="330">
                  <c:v>69.010000000000005</c:v>
                </c:pt>
                <c:pt idx="331">
                  <c:v>78.510000000000005</c:v>
                </c:pt>
                <c:pt idx="332">
                  <c:v>89.74</c:v>
                </c:pt>
                <c:pt idx="333">
                  <c:v>25.19</c:v>
                </c:pt>
                <c:pt idx="334">
                  <c:v>77.83</c:v>
                </c:pt>
                <c:pt idx="335">
                  <c:v>56.82</c:v>
                </c:pt>
                <c:pt idx="336">
                  <c:v>21.15</c:v>
                </c:pt>
                <c:pt idx="337">
                  <c:v>16.97</c:v>
                </c:pt>
                <c:pt idx="338">
                  <c:v>19.510000000000002</c:v>
                </c:pt>
                <c:pt idx="339">
                  <c:v>29.38</c:v>
                </c:pt>
                <c:pt idx="340">
                  <c:v>43.96</c:v>
                </c:pt>
                <c:pt idx="341">
                  <c:v>83.03</c:v>
                </c:pt>
                <c:pt idx="342">
                  <c:v>41.77</c:v>
                </c:pt>
                <c:pt idx="343">
                  <c:v>61.65</c:v>
                </c:pt>
                <c:pt idx="344">
                  <c:v>11.75</c:v>
                </c:pt>
                <c:pt idx="345">
                  <c:v>17.239999999999998</c:v>
                </c:pt>
                <c:pt idx="346">
                  <c:v>76.31</c:v>
                </c:pt>
                <c:pt idx="347">
                  <c:v>21.67</c:v>
                </c:pt>
                <c:pt idx="348">
                  <c:v>12.48</c:v>
                </c:pt>
                <c:pt idx="349">
                  <c:v>71.37</c:v>
                </c:pt>
                <c:pt idx="350">
                  <c:v>26.3</c:v>
                </c:pt>
                <c:pt idx="351">
                  <c:v>45.18</c:v>
                </c:pt>
                <c:pt idx="352">
                  <c:v>36.51</c:v>
                </c:pt>
                <c:pt idx="353">
                  <c:v>47.51</c:v>
                </c:pt>
                <c:pt idx="354">
                  <c:v>54.18</c:v>
                </c:pt>
                <c:pt idx="355">
                  <c:v>28.35</c:v>
                </c:pt>
                <c:pt idx="356">
                  <c:v>79.260000000000005</c:v>
                </c:pt>
                <c:pt idx="357">
                  <c:v>17.82</c:v>
                </c:pt>
                <c:pt idx="358">
                  <c:v>27.44</c:v>
                </c:pt>
                <c:pt idx="359">
                  <c:v>21.02</c:v>
                </c:pt>
                <c:pt idx="360">
                  <c:v>69.349999999999994</c:v>
                </c:pt>
                <c:pt idx="361">
                  <c:v>62.24</c:v>
                </c:pt>
                <c:pt idx="362">
                  <c:v>18.62</c:v>
                </c:pt>
                <c:pt idx="363">
                  <c:v>48.8</c:v>
                </c:pt>
                <c:pt idx="364">
                  <c:v>79.84</c:v>
                </c:pt>
                <c:pt idx="365">
                  <c:v>43.12</c:v>
                </c:pt>
                <c:pt idx="366">
                  <c:v>20.91</c:v>
                </c:pt>
                <c:pt idx="367">
                  <c:v>53.48</c:v>
                </c:pt>
                <c:pt idx="368">
                  <c:v>17.829999999999998</c:v>
                </c:pt>
                <c:pt idx="369">
                  <c:v>84.81</c:v>
                </c:pt>
                <c:pt idx="370">
                  <c:v>56.45</c:v>
                </c:pt>
                <c:pt idx="371">
                  <c:v>22.35</c:v>
                </c:pt>
                <c:pt idx="372">
                  <c:v>69.930000000000007</c:v>
                </c:pt>
                <c:pt idx="373">
                  <c:v>80.61</c:v>
                </c:pt>
                <c:pt idx="374">
                  <c:v>78.150000000000006</c:v>
                </c:pt>
                <c:pt idx="375">
                  <c:v>34.83</c:v>
                </c:pt>
                <c:pt idx="376">
                  <c:v>27.6</c:v>
                </c:pt>
                <c:pt idx="377">
                  <c:v>35.79</c:v>
                </c:pt>
                <c:pt idx="378">
                  <c:v>53.68</c:v>
                </c:pt>
                <c:pt idx="379">
                  <c:v>45.88</c:v>
                </c:pt>
                <c:pt idx="380">
                  <c:v>53.45</c:v>
                </c:pt>
                <c:pt idx="381">
                  <c:v>66.489999999999995</c:v>
                </c:pt>
                <c:pt idx="382">
                  <c:v>81.83</c:v>
                </c:pt>
                <c:pt idx="383">
                  <c:v>53.6</c:v>
                </c:pt>
                <c:pt idx="384">
                  <c:v>37.979999999999997</c:v>
                </c:pt>
                <c:pt idx="385">
                  <c:v>74.709999999999994</c:v>
                </c:pt>
                <c:pt idx="386">
                  <c:v>84.23</c:v>
                </c:pt>
                <c:pt idx="387">
                  <c:v>68.78</c:v>
                </c:pt>
                <c:pt idx="388">
                  <c:v>66.73</c:v>
                </c:pt>
                <c:pt idx="389">
                  <c:v>31.33</c:v>
                </c:pt>
                <c:pt idx="390">
                  <c:v>85.34</c:v>
                </c:pt>
                <c:pt idx="391">
                  <c:v>51.89</c:v>
                </c:pt>
                <c:pt idx="392">
                  <c:v>54.82</c:v>
                </c:pt>
                <c:pt idx="393">
                  <c:v>23.79</c:v>
                </c:pt>
                <c:pt idx="394">
                  <c:v>46.23</c:v>
                </c:pt>
                <c:pt idx="395">
                  <c:v>88.65</c:v>
                </c:pt>
                <c:pt idx="396">
                  <c:v>80.92</c:v>
                </c:pt>
                <c:pt idx="397">
                  <c:v>87.27</c:v>
                </c:pt>
                <c:pt idx="398">
                  <c:v>74.25</c:v>
                </c:pt>
                <c:pt idx="399">
                  <c:v>46.31</c:v>
                </c:pt>
                <c:pt idx="400">
                  <c:v>21.46</c:v>
                </c:pt>
                <c:pt idx="401">
                  <c:v>49.17</c:v>
                </c:pt>
                <c:pt idx="402">
                  <c:v>64.239999999999995</c:v>
                </c:pt>
                <c:pt idx="403">
                  <c:v>30.26</c:v>
                </c:pt>
                <c:pt idx="404">
                  <c:v>46.87</c:v>
                </c:pt>
                <c:pt idx="405">
                  <c:v>87.63</c:v>
                </c:pt>
                <c:pt idx="406">
                  <c:v>81.33</c:v>
                </c:pt>
                <c:pt idx="407">
                  <c:v>57.14</c:v>
                </c:pt>
                <c:pt idx="408">
                  <c:v>56.19</c:v>
                </c:pt>
                <c:pt idx="409">
                  <c:v>56.73</c:v>
                </c:pt>
                <c:pt idx="410">
                  <c:v>62.72</c:v>
                </c:pt>
                <c:pt idx="411">
                  <c:v>19.66</c:v>
                </c:pt>
                <c:pt idx="412">
                  <c:v>88.11</c:v>
                </c:pt>
                <c:pt idx="413">
                  <c:v>52.71</c:v>
                </c:pt>
                <c:pt idx="414">
                  <c:v>66.06</c:v>
                </c:pt>
                <c:pt idx="415">
                  <c:v>39.729999999999997</c:v>
                </c:pt>
                <c:pt idx="416">
                  <c:v>15.72</c:v>
                </c:pt>
                <c:pt idx="417">
                  <c:v>14.05</c:v>
                </c:pt>
                <c:pt idx="418">
                  <c:v>43.44</c:v>
                </c:pt>
                <c:pt idx="419">
                  <c:v>62.16</c:v>
                </c:pt>
                <c:pt idx="420">
                  <c:v>26.67</c:v>
                </c:pt>
                <c:pt idx="421">
                  <c:v>46.72</c:v>
                </c:pt>
                <c:pt idx="422">
                  <c:v>78.31</c:v>
                </c:pt>
                <c:pt idx="423">
                  <c:v>85.2</c:v>
                </c:pt>
                <c:pt idx="424">
                  <c:v>21</c:v>
                </c:pt>
                <c:pt idx="425">
                  <c:v>54.73</c:v>
                </c:pt>
                <c:pt idx="426">
                  <c:v>49.46</c:v>
                </c:pt>
                <c:pt idx="427">
                  <c:v>57.57</c:v>
                </c:pt>
                <c:pt idx="428">
                  <c:v>48.71</c:v>
                </c:pt>
                <c:pt idx="429">
                  <c:v>20.14</c:v>
                </c:pt>
                <c:pt idx="430">
                  <c:v>80.739999999999995</c:v>
                </c:pt>
                <c:pt idx="431">
                  <c:v>13.15</c:v>
                </c:pt>
                <c:pt idx="432">
                  <c:v>15.42</c:v>
                </c:pt>
                <c:pt idx="433">
                  <c:v>75.02</c:v>
                </c:pt>
                <c:pt idx="434">
                  <c:v>46.76</c:v>
                </c:pt>
                <c:pt idx="435">
                  <c:v>84.12</c:v>
                </c:pt>
                <c:pt idx="436">
                  <c:v>47.1</c:v>
                </c:pt>
                <c:pt idx="437">
                  <c:v>88.96</c:v>
                </c:pt>
                <c:pt idx="438">
                  <c:v>42.02</c:v>
                </c:pt>
                <c:pt idx="439">
                  <c:v>25.67</c:v>
                </c:pt>
                <c:pt idx="440">
                  <c:v>24.54</c:v>
                </c:pt>
                <c:pt idx="441">
                  <c:v>17.23</c:v>
                </c:pt>
                <c:pt idx="442">
                  <c:v>33.44</c:v>
                </c:pt>
                <c:pt idx="443">
                  <c:v>87.98</c:v>
                </c:pt>
                <c:pt idx="444">
                  <c:v>29.72</c:v>
                </c:pt>
                <c:pt idx="445">
                  <c:v>62.22</c:v>
                </c:pt>
                <c:pt idx="446">
                  <c:v>14.98</c:v>
                </c:pt>
                <c:pt idx="447">
                  <c:v>26.68</c:v>
                </c:pt>
                <c:pt idx="448">
                  <c:v>87.53</c:v>
                </c:pt>
                <c:pt idx="449">
                  <c:v>68.87</c:v>
                </c:pt>
                <c:pt idx="450">
                  <c:v>76.95</c:v>
                </c:pt>
                <c:pt idx="451">
                  <c:v>25.65</c:v>
                </c:pt>
                <c:pt idx="452">
                  <c:v>33.270000000000003</c:v>
                </c:pt>
                <c:pt idx="453">
                  <c:v>63.44</c:v>
                </c:pt>
                <c:pt idx="454">
                  <c:v>79.03</c:v>
                </c:pt>
                <c:pt idx="455">
                  <c:v>29.73</c:v>
                </c:pt>
                <c:pt idx="456">
                  <c:v>48.18</c:v>
                </c:pt>
                <c:pt idx="457">
                  <c:v>61.3</c:v>
                </c:pt>
                <c:pt idx="458">
                  <c:v>18.73</c:v>
                </c:pt>
                <c:pt idx="459">
                  <c:v>86.86</c:v>
                </c:pt>
                <c:pt idx="460">
                  <c:v>65.73</c:v>
                </c:pt>
                <c:pt idx="461">
                  <c:v>14.19</c:v>
                </c:pt>
                <c:pt idx="462">
                  <c:v>55.01</c:v>
                </c:pt>
                <c:pt idx="463">
                  <c:v>60.09</c:v>
                </c:pt>
                <c:pt idx="464">
                  <c:v>12.62</c:v>
                </c:pt>
                <c:pt idx="465">
                  <c:v>16.25</c:v>
                </c:pt>
                <c:pt idx="466">
                  <c:v>76.69</c:v>
                </c:pt>
                <c:pt idx="467">
                  <c:v>85.79</c:v>
                </c:pt>
                <c:pt idx="468">
                  <c:v>58.94</c:v>
                </c:pt>
                <c:pt idx="469">
                  <c:v>62.87</c:v>
                </c:pt>
                <c:pt idx="470">
                  <c:v>54.08</c:v>
                </c:pt>
                <c:pt idx="471">
                  <c:v>29.43</c:v>
                </c:pt>
                <c:pt idx="472">
                  <c:v>72.02</c:v>
                </c:pt>
                <c:pt idx="473">
                  <c:v>87.86</c:v>
                </c:pt>
                <c:pt idx="474">
                  <c:v>89.45</c:v>
                </c:pt>
                <c:pt idx="475">
                  <c:v>57.5</c:v>
                </c:pt>
                <c:pt idx="476">
                  <c:v>12.1</c:v>
                </c:pt>
                <c:pt idx="477">
                  <c:v>85.34</c:v>
                </c:pt>
                <c:pt idx="478">
                  <c:v>32.380000000000003</c:v>
                </c:pt>
                <c:pt idx="479">
                  <c:v>40.409999999999997</c:v>
                </c:pt>
                <c:pt idx="480">
                  <c:v>82.38</c:v>
                </c:pt>
                <c:pt idx="481">
                  <c:v>10.66</c:v>
                </c:pt>
                <c:pt idx="482">
                  <c:v>32.53</c:v>
                </c:pt>
                <c:pt idx="483">
                  <c:v>68.97</c:v>
                </c:pt>
                <c:pt idx="484">
                  <c:v>88.85</c:v>
                </c:pt>
                <c:pt idx="485">
                  <c:v>28.82</c:v>
                </c:pt>
                <c:pt idx="486">
                  <c:v>76.59</c:v>
                </c:pt>
                <c:pt idx="487">
                  <c:v>51.29</c:v>
                </c:pt>
                <c:pt idx="488">
                  <c:v>76.099999999999994</c:v>
                </c:pt>
                <c:pt idx="489">
                  <c:v>61.98</c:v>
                </c:pt>
                <c:pt idx="490">
                  <c:v>48.12</c:v>
                </c:pt>
                <c:pt idx="491">
                  <c:v>89.7</c:v>
                </c:pt>
                <c:pt idx="492">
                  <c:v>37.15</c:v>
                </c:pt>
                <c:pt idx="493">
                  <c:v>84.9</c:v>
                </c:pt>
                <c:pt idx="494">
                  <c:v>78.36</c:v>
                </c:pt>
                <c:pt idx="495">
                  <c:v>42.72</c:v>
                </c:pt>
                <c:pt idx="496">
                  <c:v>79.540000000000006</c:v>
                </c:pt>
                <c:pt idx="497">
                  <c:v>32.78</c:v>
                </c:pt>
                <c:pt idx="498">
                  <c:v>23.17</c:v>
                </c:pt>
                <c:pt idx="499">
                  <c:v>40.700000000000003</c:v>
                </c:pt>
                <c:pt idx="500">
                  <c:v>25.26</c:v>
                </c:pt>
                <c:pt idx="501">
                  <c:v>61.61</c:v>
                </c:pt>
                <c:pt idx="502">
                  <c:v>79.150000000000006</c:v>
                </c:pt>
                <c:pt idx="503">
                  <c:v>87.27</c:v>
                </c:pt>
                <c:pt idx="504">
                  <c:v>47.43</c:v>
                </c:pt>
                <c:pt idx="505">
                  <c:v>10.38</c:v>
                </c:pt>
                <c:pt idx="506">
                  <c:v>13.91</c:v>
                </c:pt>
                <c:pt idx="507">
                  <c:v>64.14</c:v>
                </c:pt>
                <c:pt idx="508">
                  <c:v>76.73</c:v>
                </c:pt>
                <c:pt idx="509">
                  <c:v>23.25</c:v>
                </c:pt>
                <c:pt idx="510">
                  <c:v>40.880000000000003</c:v>
                </c:pt>
                <c:pt idx="511">
                  <c:v>81.569999999999993</c:v>
                </c:pt>
                <c:pt idx="512">
                  <c:v>10.199999999999999</c:v>
                </c:pt>
                <c:pt idx="513">
                  <c:v>44.35</c:v>
                </c:pt>
                <c:pt idx="514">
                  <c:v>18.86</c:v>
                </c:pt>
                <c:pt idx="515">
                  <c:v>87.16</c:v>
                </c:pt>
                <c:pt idx="516">
                  <c:v>52.36</c:v>
                </c:pt>
                <c:pt idx="517">
                  <c:v>85.29</c:v>
                </c:pt>
                <c:pt idx="518">
                  <c:v>43.53</c:v>
                </c:pt>
                <c:pt idx="519">
                  <c:v>15.98</c:v>
                </c:pt>
                <c:pt idx="520">
                  <c:v>64.27</c:v>
                </c:pt>
                <c:pt idx="521">
                  <c:v>63.91</c:v>
                </c:pt>
                <c:pt idx="522">
                  <c:v>70.95</c:v>
                </c:pt>
                <c:pt idx="523">
                  <c:v>13.05</c:v>
                </c:pt>
                <c:pt idx="524">
                  <c:v>16.489999999999998</c:v>
                </c:pt>
                <c:pt idx="525">
                  <c:v>66.680000000000007</c:v>
                </c:pt>
                <c:pt idx="526">
                  <c:v>73.97</c:v>
                </c:pt>
                <c:pt idx="527">
                  <c:v>71.819999999999993</c:v>
                </c:pt>
                <c:pt idx="528">
                  <c:v>32.04</c:v>
                </c:pt>
                <c:pt idx="529">
                  <c:v>73.239999999999995</c:v>
                </c:pt>
                <c:pt idx="530">
                  <c:v>41.5</c:v>
                </c:pt>
                <c:pt idx="531">
                  <c:v>66.91</c:v>
                </c:pt>
                <c:pt idx="532">
                  <c:v>30.46</c:v>
                </c:pt>
                <c:pt idx="533">
                  <c:v>46.38</c:v>
                </c:pt>
                <c:pt idx="534">
                  <c:v>33.909999999999997</c:v>
                </c:pt>
                <c:pt idx="535">
                  <c:v>47.74</c:v>
                </c:pt>
                <c:pt idx="536">
                  <c:v>61.58</c:v>
                </c:pt>
                <c:pt idx="537">
                  <c:v>60.06</c:v>
                </c:pt>
                <c:pt idx="538">
                  <c:v>37.369999999999997</c:v>
                </c:pt>
                <c:pt idx="539">
                  <c:v>28.52</c:v>
                </c:pt>
                <c:pt idx="540">
                  <c:v>44.24</c:v>
                </c:pt>
                <c:pt idx="541">
                  <c:v>22.93</c:v>
                </c:pt>
                <c:pt idx="542">
                  <c:v>81.2</c:v>
                </c:pt>
                <c:pt idx="543">
                  <c:v>88.59</c:v>
                </c:pt>
                <c:pt idx="544">
                  <c:v>58.3</c:v>
                </c:pt>
                <c:pt idx="545">
                  <c:v>77.150000000000006</c:v>
                </c:pt>
                <c:pt idx="546">
                  <c:v>47.89</c:v>
                </c:pt>
                <c:pt idx="547">
                  <c:v>69.25</c:v>
                </c:pt>
                <c:pt idx="548">
                  <c:v>66.09</c:v>
                </c:pt>
                <c:pt idx="549">
                  <c:v>43.98</c:v>
                </c:pt>
                <c:pt idx="550">
                  <c:v>66.86</c:v>
                </c:pt>
                <c:pt idx="551">
                  <c:v>85.84</c:v>
                </c:pt>
                <c:pt idx="552">
                  <c:v>70.91</c:v>
                </c:pt>
                <c:pt idx="553">
                  <c:v>32.08</c:v>
                </c:pt>
                <c:pt idx="554">
                  <c:v>77.12</c:v>
                </c:pt>
                <c:pt idx="555">
                  <c:v>41.87</c:v>
                </c:pt>
                <c:pt idx="556">
                  <c:v>28.48</c:v>
                </c:pt>
                <c:pt idx="557">
                  <c:v>55.27</c:v>
                </c:pt>
                <c:pt idx="558">
                  <c:v>54.39</c:v>
                </c:pt>
                <c:pt idx="559">
                  <c:v>27.04</c:v>
                </c:pt>
                <c:pt idx="560">
                  <c:v>59.78</c:v>
                </c:pt>
                <c:pt idx="561">
                  <c:v>74.5</c:v>
                </c:pt>
                <c:pt idx="562">
                  <c:v>31.38</c:v>
                </c:pt>
                <c:pt idx="563">
                  <c:v>79.98</c:v>
                </c:pt>
                <c:pt idx="564">
                  <c:v>44.21</c:v>
                </c:pt>
                <c:pt idx="565">
                  <c:v>47.71</c:v>
                </c:pt>
                <c:pt idx="566">
                  <c:v>78.930000000000007</c:v>
                </c:pt>
                <c:pt idx="567">
                  <c:v>32.44</c:v>
                </c:pt>
                <c:pt idx="568">
                  <c:v>20.76</c:v>
                </c:pt>
                <c:pt idx="569">
                  <c:v>21.72</c:v>
                </c:pt>
                <c:pt idx="570">
                  <c:v>32.14</c:v>
                </c:pt>
                <c:pt idx="571">
                  <c:v>14.01</c:v>
                </c:pt>
                <c:pt idx="572">
                  <c:v>58.55</c:v>
                </c:pt>
                <c:pt idx="573">
                  <c:v>83.26</c:v>
                </c:pt>
                <c:pt idx="574">
                  <c:v>34.76</c:v>
                </c:pt>
                <c:pt idx="575">
                  <c:v>59.32</c:v>
                </c:pt>
                <c:pt idx="576">
                  <c:v>61.69</c:v>
                </c:pt>
                <c:pt idx="577">
                  <c:v>50.32</c:v>
                </c:pt>
                <c:pt idx="578">
                  <c:v>14.39</c:v>
                </c:pt>
                <c:pt idx="579">
                  <c:v>56.75</c:v>
                </c:pt>
                <c:pt idx="580">
                  <c:v>79.16</c:v>
                </c:pt>
                <c:pt idx="581">
                  <c:v>82.95</c:v>
                </c:pt>
                <c:pt idx="582">
                  <c:v>40.14</c:v>
                </c:pt>
                <c:pt idx="583">
                  <c:v>87.88</c:v>
                </c:pt>
                <c:pt idx="584">
                  <c:v>62.11</c:v>
                </c:pt>
                <c:pt idx="585">
                  <c:v>53.51</c:v>
                </c:pt>
                <c:pt idx="586">
                  <c:v>34.299999999999997</c:v>
                </c:pt>
                <c:pt idx="587">
                  <c:v>50.06</c:v>
                </c:pt>
                <c:pt idx="588">
                  <c:v>30.14</c:v>
                </c:pt>
                <c:pt idx="589">
                  <c:v>85.44</c:v>
                </c:pt>
                <c:pt idx="590">
                  <c:v>64.849999999999994</c:v>
                </c:pt>
                <c:pt idx="591">
                  <c:v>65.78</c:v>
                </c:pt>
                <c:pt idx="592">
                  <c:v>19.55</c:v>
                </c:pt>
                <c:pt idx="593">
                  <c:v>71.260000000000005</c:v>
                </c:pt>
                <c:pt idx="594">
                  <c:v>74.25</c:v>
                </c:pt>
                <c:pt idx="595">
                  <c:v>52</c:v>
                </c:pt>
                <c:pt idx="596">
                  <c:v>34.72</c:v>
                </c:pt>
                <c:pt idx="597">
                  <c:v>53.11</c:v>
                </c:pt>
                <c:pt idx="598">
                  <c:v>13.48</c:v>
                </c:pt>
                <c:pt idx="599">
                  <c:v>69.150000000000006</c:v>
                </c:pt>
                <c:pt idx="600">
                  <c:v>10.68</c:v>
                </c:pt>
                <c:pt idx="601">
                  <c:v>75.38</c:v>
                </c:pt>
                <c:pt idx="602">
                  <c:v>67.010000000000005</c:v>
                </c:pt>
                <c:pt idx="603">
                  <c:v>13.2</c:v>
                </c:pt>
                <c:pt idx="604">
                  <c:v>88.7</c:v>
                </c:pt>
                <c:pt idx="605">
                  <c:v>75.3</c:v>
                </c:pt>
                <c:pt idx="606">
                  <c:v>54.64</c:v>
                </c:pt>
                <c:pt idx="607">
                  <c:v>73.59</c:v>
                </c:pt>
                <c:pt idx="608">
                  <c:v>64.459999999999994</c:v>
                </c:pt>
                <c:pt idx="609">
                  <c:v>62.58</c:v>
                </c:pt>
                <c:pt idx="610">
                  <c:v>59.81</c:v>
                </c:pt>
                <c:pt idx="611">
                  <c:v>19.38</c:v>
                </c:pt>
                <c:pt idx="612">
                  <c:v>15.54</c:v>
                </c:pt>
                <c:pt idx="613">
                  <c:v>66.150000000000006</c:v>
                </c:pt>
                <c:pt idx="614">
                  <c:v>82.81</c:v>
                </c:pt>
                <c:pt idx="615">
                  <c:v>63.03</c:v>
                </c:pt>
                <c:pt idx="616">
                  <c:v>11.72</c:v>
                </c:pt>
                <c:pt idx="617">
                  <c:v>35.869999999999997</c:v>
                </c:pt>
                <c:pt idx="618">
                  <c:v>47.97</c:v>
                </c:pt>
                <c:pt idx="619">
                  <c:v>75.83</c:v>
                </c:pt>
                <c:pt idx="620">
                  <c:v>53.97</c:v>
                </c:pt>
                <c:pt idx="621">
                  <c:v>31.93</c:v>
                </c:pt>
                <c:pt idx="622">
                  <c:v>72.19</c:v>
                </c:pt>
                <c:pt idx="623">
                  <c:v>64.3</c:v>
                </c:pt>
                <c:pt idx="624">
                  <c:v>78.459999999999994</c:v>
                </c:pt>
                <c:pt idx="625">
                  <c:v>10.61</c:v>
                </c:pt>
                <c:pt idx="626">
                  <c:v>13.77</c:v>
                </c:pt>
                <c:pt idx="627">
                  <c:v>77.34</c:v>
                </c:pt>
                <c:pt idx="628">
                  <c:v>60.23</c:v>
                </c:pt>
                <c:pt idx="629">
                  <c:v>63.1</c:v>
                </c:pt>
                <c:pt idx="630">
                  <c:v>29.82</c:v>
                </c:pt>
                <c:pt idx="631">
                  <c:v>30.23</c:v>
                </c:pt>
                <c:pt idx="632">
                  <c:v>83.8</c:v>
                </c:pt>
                <c:pt idx="633">
                  <c:v>34.33</c:v>
                </c:pt>
                <c:pt idx="634">
                  <c:v>74.209999999999994</c:v>
                </c:pt>
                <c:pt idx="635">
                  <c:v>47.73</c:v>
                </c:pt>
                <c:pt idx="636">
                  <c:v>37.15</c:v>
                </c:pt>
                <c:pt idx="637">
                  <c:v>37.630000000000003</c:v>
                </c:pt>
                <c:pt idx="638">
                  <c:v>67.7</c:v>
                </c:pt>
                <c:pt idx="639">
                  <c:v>30.82</c:v>
                </c:pt>
                <c:pt idx="640">
                  <c:v>59.2</c:v>
                </c:pt>
                <c:pt idx="641">
                  <c:v>50.39</c:v>
                </c:pt>
                <c:pt idx="642">
                  <c:v>78.23</c:v>
                </c:pt>
                <c:pt idx="643">
                  <c:v>18.66</c:v>
                </c:pt>
                <c:pt idx="644">
                  <c:v>38.549999999999997</c:v>
                </c:pt>
                <c:pt idx="645">
                  <c:v>83.75</c:v>
                </c:pt>
                <c:pt idx="646">
                  <c:v>64.489999999999995</c:v>
                </c:pt>
                <c:pt idx="647">
                  <c:v>30.14</c:v>
                </c:pt>
                <c:pt idx="648">
                  <c:v>60.15</c:v>
                </c:pt>
                <c:pt idx="649">
                  <c:v>63.23</c:v>
                </c:pt>
                <c:pt idx="650">
                  <c:v>22.6</c:v>
                </c:pt>
                <c:pt idx="651">
                  <c:v>47.89</c:v>
                </c:pt>
                <c:pt idx="652">
                  <c:v>25.39</c:v>
                </c:pt>
                <c:pt idx="653">
                  <c:v>16.96</c:v>
                </c:pt>
                <c:pt idx="654">
                  <c:v>69.010000000000005</c:v>
                </c:pt>
                <c:pt idx="655">
                  <c:v>36.01</c:v>
                </c:pt>
                <c:pt idx="656">
                  <c:v>81.98</c:v>
                </c:pt>
                <c:pt idx="657">
                  <c:v>56.31</c:v>
                </c:pt>
                <c:pt idx="658">
                  <c:v>65.36</c:v>
                </c:pt>
                <c:pt idx="659">
                  <c:v>59.77</c:v>
                </c:pt>
                <c:pt idx="660">
                  <c:v>74.459999999999994</c:v>
                </c:pt>
                <c:pt idx="661">
                  <c:v>44.85</c:v>
                </c:pt>
                <c:pt idx="662">
                  <c:v>32.76</c:v>
                </c:pt>
                <c:pt idx="663">
                  <c:v>18.239999999999998</c:v>
                </c:pt>
                <c:pt idx="664">
                  <c:v>55.14</c:v>
                </c:pt>
                <c:pt idx="665">
                  <c:v>76.06</c:v>
                </c:pt>
                <c:pt idx="666">
                  <c:v>17.940000000000001</c:v>
                </c:pt>
                <c:pt idx="667">
                  <c:v>46.36</c:v>
                </c:pt>
                <c:pt idx="668">
                  <c:v>21.19</c:v>
                </c:pt>
                <c:pt idx="669">
                  <c:v>88.32</c:v>
                </c:pt>
                <c:pt idx="670">
                  <c:v>16.93</c:v>
                </c:pt>
                <c:pt idx="671">
                  <c:v>40.92</c:v>
                </c:pt>
                <c:pt idx="672">
                  <c:v>65.5</c:v>
                </c:pt>
                <c:pt idx="673">
                  <c:v>41.34</c:v>
                </c:pt>
                <c:pt idx="674">
                  <c:v>49.31</c:v>
                </c:pt>
                <c:pt idx="675">
                  <c:v>82.66</c:v>
                </c:pt>
                <c:pt idx="676">
                  <c:v>68.03</c:v>
                </c:pt>
                <c:pt idx="677">
                  <c:v>64.44</c:v>
                </c:pt>
                <c:pt idx="678">
                  <c:v>29.98</c:v>
                </c:pt>
                <c:pt idx="679">
                  <c:v>57.43</c:v>
                </c:pt>
                <c:pt idx="680">
                  <c:v>25.12</c:v>
                </c:pt>
                <c:pt idx="681">
                  <c:v>14.45</c:v>
                </c:pt>
                <c:pt idx="682">
                  <c:v>55.75</c:v>
                </c:pt>
                <c:pt idx="683">
                  <c:v>47</c:v>
                </c:pt>
                <c:pt idx="684">
                  <c:v>10.65</c:v>
                </c:pt>
                <c:pt idx="685">
                  <c:v>22.43</c:v>
                </c:pt>
                <c:pt idx="686">
                  <c:v>75.37</c:v>
                </c:pt>
                <c:pt idx="687">
                  <c:v>74.37</c:v>
                </c:pt>
                <c:pt idx="688">
                  <c:v>31.92</c:v>
                </c:pt>
                <c:pt idx="689">
                  <c:v>28.31</c:v>
                </c:pt>
                <c:pt idx="690">
                  <c:v>27.48</c:v>
                </c:pt>
                <c:pt idx="691">
                  <c:v>22.57</c:v>
                </c:pt>
                <c:pt idx="692">
                  <c:v>70.709999999999994</c:v>
                </c:pt>
                <c:pt idx="693">
                  <c:v>88.55</c:v>
                </c:pt>
                <c:pt idx="694">
                  <c:v>82.11</c:v>
                </c:pt>
                <c:pt idx="695">
                  <c:v>16.899999999999999</c:v>
                </c:pt>
                <c:pt idx="696">
                  <c:v>41.22</c:v>
                </c:pt>
                <c:pt idx="697">
                  <c:v>89.75</c:v>
                </c:pt>
                <c:pt idx="698">
                  <c:v>15.9</c:v>
                </c:pt>
                <c:pt idx="699">
                  <c:v>43.81</c:v>
                </c:pt>
                <c:pt idx="700">
                  <c:v>76.14</c:v>
                </c:pt>
                <c:pt idx="701">
                  <c:v>20.43</c:v>
                </c:pt>
                <c:pt idx="702">
                  <c:v>79.650000000000006</c:v>
                </c:pt>
                <c:pt idx="703">
                  <c:v>20.87</c:v>
                </c:pt>
                <c:pt idx="704">
                  <c:v>87.96</c:v>
                </c:pt>
                <c:pt idx="705">
                  <c:v>56.46</c:v>
                </c:pt>
                <c:pt idx="706">
                  <c:v>41.94</c:v>
                </c:pt>
                <c:pt idx="707">
                  <c:v>31.48</c:v>
                </c:pt>
                <c:pt idx="708">
                  <c:v>61.7</c:v>
                </c:pt>
                <c:pt idx="709">
                  <c:v>65.69</c:v>
                </c:pt>
                <c:pt idx="710">
                  <c:v>16.62</c:v>
                </c:pt>
                <c:pt idx="711">
                  <c:v>58.51</c:v>
                </c:pt>
                <c:pt idx="712">
                  <c:v>73.989999999999995</c:v>
                </c:pt>
                <c:pt idx="713">
                  <c:v>26.61</c:v>
                </c:pt>
                <c:pt idx="714">
                  <c:v>16.8</c:v>
                </c:pt>
                <c:pt idx="715">
                  <c:v>34.17</c:v>
                </c:pt>
                <c:pt idx="716">
                  <c:v>45.38</c:v>
                </c:pt>
                <c:pt idx="717">
                  <c:v>68.38</c:v>
                </c:pt>
                <c:pt idx="718">
                  <c:v>63.65</c:v>
                </c:pt>
                <c:pt idx="719">
                  <c:v>31.96</c:v>
                </c:pt>
                <c:pt idx="720">
                  <c:v>23.59</c:v>
                </c:pt>
                <c:pt idx="721">
                  <c:v>38.549999999999997</c:v>
                </c:pt>
                <c:pt idx="722">
                  <c:v>52.92</c:v>
                </c:pt>
                <c:pt idx="723">
                  <c:v>71.87</c:v>
                </c:pt>
                <c:pt idx="724">
                  <c:v>61.18</c:v>
                </c:pt>
                <c:pt idx="725">
                  <c:v>83.87</c:v>
                </c:pt>
                <c:pt idx="726">
                  <c:v>41.58</c:v>
                </c:pt>
                <c:pt idx="727">
                  <c:v>42.14</c:v>
                </c:pt>
                <c:pt idx="728">
                  <c:v>86.41</c:v>
                </c:pt>
                <c:pt idx="729">
                  <c:v>23.1</c:v>
                </c:pt>
                <c:pt idx="730">
                  <c:v>55.97</c:v>
                </c:pt>
                <c:pt idx="731">
                  <c:v>47.8</c:v>
                </c:pt>
                <c:pt idx="732">
                  <c:v>32.1</c:v>
                </c:pt>
                <c:pt idx="733">
                  <c:v>51.28</c:v>
                </c:pt>
                <c:pt idx="734">
                  <c:v>34.72</c:v>
                </c:pt>
                <c:pt idx="735">
                  <c:v>35.28</c:v>
                </c:pt>
                <c:pt idx="736">
                  <c:v>27.11</c:v>
                </c:pt>
                <c:pt idx="737">
                  <c:v>37.01</c:v>
                </c:pt>
                <c:pt idx="738">
                  <c:v>72.709999999999994</c:v>
                </c:pt>
                <c:pt idx="739">
                  <c:v>81.790000000000006</c:v>
                </c:pt>
                <c:pt idx="740">
                  <c:v>86.17</c:v>
                </c:pt>
                <c:pt idx="741">
                  <c:v>50.19</c:v>
                </c:pt>
                <c:pt idx="742">
                  <c:v>77.489999999999995</c:v>
                </c:pt>
                <c:pt idx="743">
                  <c:v>19.649999999999999</c:v>
                </c:pt>
                <c:pt idx="744">
                  <c:v>16.579999999999998</c:v>
                </c:pt>
                <c:pt idx="745">
                  <c:v>84.18</c:v>
                </c:pt>
                <c:pt idx="746">
                  <c:v>10.55</c:v>
                </c:pt>
                <c:pt idx="747">
                  <c:v>50.18</c:v>
                </c:pt>
                <c:pt idx="748">
                  <c:v>60.61</c:v>
                </c:pt>
                <c:pt idx="749">
                  <c:v>44.92</c:v>
                </c:pt>
                <c:pt idx="750">
                  <c:v>33.35</c:v>
                </c:pt>
                <c:pt idx="751">
                  <c:v>24.22</c:v>
                </c:pt>
                <c:pt idx="752">
                  <c:v>86.2</c:v>
                </c:pt>
                <c:pt idx="753">
                  <c:v>58.88</c:v>
                </c:pt>
                <c:pt idx="754">
                  <c:v>29.51</c:v>
                </c:pt>
                <c:pt idx="755">
                  <c:v>89.15</c:v>
                </c:pt>
                <c:pt idx="756">
                  <c:v>67.94</c:v>
                </c:pt>
                <c:pt idx="757">
                  <c:v>38.78</c:v>
                </c:pt>
                <c:pt idx="758">
                  <c:v>26.92</c:v>
                </c:pt>
                <c:pt idx="759">
                  <c:v>35.43</c:v>
                </c:pt>
                <c:pt idx="760">
                  <c:v>69.53</c:v>
                </c:pt>
                <c:pt idx="761">
                  <c:v>17.079999999999998</c:v>
                </c:pt>
              </c:numCache>
            </c:numRef>
          </c:xVal>
          <c:yVal>
            <c:numRef>
              <c:f>Q.3!$B$2:$B$763</c:f>
              <c:numCache>
                <c:formatCode>General</c:formatCode>
                <c:ptCount val="762"/>
                <c:pt idx="0">
                  <c:v>37.75</c:v>
                </c:pt>
                <c:pt idx="1">
                  <c:v>8.73</c:v>
                </c:pt>
                <c:pt idx="2">
                  <c:v>75.12</c:v>
                </c:pt>
                <c:pt idx="3">
                  <c:v>45.91</c:v>
                </c:pt>
                <c:pt idx="4">
                  <c:v>53.98</c:v>
                </c:pt>
                <c:pt idx="5">
                  <c:v>55.35</c:v>
                </c:pt>
                <c:pt idx="6">
                  <c:v>23.09</c:v>
                </c:pt>
                <c:pt idx="7">
                  <c:v>18.579999999999998</c:v>
                </c:pt>
                <c:pt idx="8">
                  <c:v>62.1</c:v>
                </c:pt>
                <c:pt idx="9">
                  <c:v>46.14</c:v>
                </c:pt>
                <c:pt idx="10">
                  <c:v>60.28</c:v>
                </c:pt>
                <c:pt idx="11">
                  <c:v>72.64</c:v>
                </c:pt>
                <c:pt idx="12">
                  <c:v>20.12</c:v>
                </c:pt>
                <c:pt idx="13">
                  <c:v>55.65</c:v>
                </c:pt>
                <c:pt idx="14">
                  <c:v>13.84</c:v>
                </c:pt>
                <c:pt idx="15">
                  <c:v>55.09</c:v>
                </c:pt>
                <c:pt idx="16">
                  <c:v>11.02</c:v>
                </c:pt>
                <c:pt idx="17">
                  <c:v>33.229999999999997</c:v>
                </c:pt>
                <c:pt idx="18">
                  <c:v>35.520000000000003</c:v>
                </c:pt>
                <c:pt idx="19">
                  <c:v>79.98</c:v>
                </c:pt>
                <c:pt idx="20">
                  <c:v>34.700000000000003</c:v>
                </c:pt>
                <c:pt idx="21">
                  <c:v>19.829999999999998</c:v>
                </c:pt>
                <c:pt idx="22">
                  <c:v>49.88</c:v>
                </c:pt>
                <c:pt idx="23">
                  <c:v>27.92</c:v>
                </c:pt>
                <c:pt idx="24">
                  <c:v>12.25</c:v>
                </c:pt>
                <c:pt idx="25">
                  <c:v>14.4</c:v>
                </c:pt>
                <c:pt idx="26">
                  <c:v>26.29</c:v>
                </c:pt>
                <c:pt idx="27">
                  <c:v>20.99</c:v>
                </c:pt>
                <c:pt idx="28">
                  <c:v>32.51</c:v>
                </c:pt>
                <c:pt idx="29">
                  <c:v>36.69</c:v>
                </c:pt>
                <c:pt idx="30">
                  <c:v>55.56</c:v>
                </c:pt>
                <c:pt idx="31">
                  <c:v>42.1</c:v>
                </c:pt>
                <c:pt idx="32">
                  <c:v>63.7</c:v>
                </c:pt>
                <c:pt idx="33">
                  <c:v>66.16</c:v>
                </c:pt>
                <c:pt idx="34">
                  <c:v>9.42</c:v>
                </c:pt>
                <c:pt idx="35">
                  <c:v>54.47</c:v>
                </c:pt>
                <c:pt idx="36">
                  <c:v>65.55</c:v>
                </c:pt>
                <c:pt idx="37">
                  <c:v>6.65</c:v>
                </c:pt>
                <c:pt idx="38">
                  <c:v>58.45</c:v>
                </c:pt>
                <c:pt idx="39">
                  <c:v>22.71</c:v>
                </c:pt>
                <c:pt idx="40">
                  <c:v>64.62</c:v>
                </c:pt>
                <c:pt idx="41">
                  <c:v>20.09</c:v>
                </c:pt>
                <c:pt idx="42">
                  <c:v>79.12</c:v>
                </c:pt>
                <c:pt idx="43">
                  <c:v>7.06</c:v>
                </c:pt>
                <c:pt idx="44">
                  <c:v>37.729999999999997</c:v>
                </c:pt>
                <c:pt idx="45">
                  <c:v>52.91</c:v>
                </c:pt>
                <c:pt idx="46">
                  <c:v>32.93</c:v>
                </c:pt>
                <c:pt idx="47">
                  <c:v>5.51</c:v>
                </c:pt>
                <c:pt idx="48">
                  <c:v>10.41</c:v>
                </c:pt>
                <c:pt idx="49">
                  <c:v>11.5</c:v>
                </c:pt>
                <c:pt idx="50">
                  <c:v>65.77</c:v>
                </c:pt>
                <c:pt idx="51">
                  <c:v>43.93</c:v>
                </c:pt>
                <c:pt idx="52">
                  <c:v>44.99</c:v>
                </c:pt>
                <c:pt idx="53">
                  <c:v>70.8</c:v>
                </c:pt>
                <c:pt idx="54">
                  <c:v>72.680000000000007</c:v>
                </c:pt>
                <c:pt idx="55">
                  <c:v>56.83</c:v>
                </c:pt>
                <c:pt idx="56">
                  <c:v>13.73</c:v>
                </c:pt>
                <c:pt idx="57">
                  <c:v>13.44</c:v>
                </c:pt>
                <c:pt idx="58">
                  <c:v>71.03</c:v>
                </c:pt>
                <c:pt idx="59">
                  <c:v>60.35</c:v>
                </c:pt>
                <c:pt idx="60">
                  <c:v>10.74</c:v>
                </c:pt>
                <c:pt idx="61">
                  <c:v>41.93</c:v>
                </c:pt>
                <c:pt idx="62">
                  <c:v>28.63</c:v>
                </c:pt>
                <c:pt idx="63">
                  <c:v>25.43</c:v>
                </c:pt>
                <c:pt idx="64">
                  <c:v>18.93</c:v>
                </c:pt>
                <c:pt idx="65">
                  <c:v>56.49</c:v>
                </c:pt>
                <c:pt idx="66">
                  <c:v>67.73</c:v>
                </c:pt>
                <c:pt idx="67">
                  <c:v>30.94</c:v>
                </c:pt>
                <c:pt idx="68">
                  <c:v>79.06</c:v>
                </c:pt>
                <c:pt idx="69">
                  <c:v>62.25</c:v>
                </c:pt>
                <c:pt idx="70">
                  <c:v>30.63</c:v>
                </c:pt>
                <c:pt idx="71">
                  <c:v>34.06</c:v>
                </c:pt>
                <c:pt idx="72">
                  <c:v>52.23</c:v>
                </c:pt>
                <c:pt idx="73">
                  <c:v>65.650000000000006</c:v>
                </c:pt>
                <c:pt idx="74">
                  <c:v>46.19</c:v>
                </c:pt>
                <c:pt idx="75">
                  <c:v>58.01</c:v>
                </c:pt>
                <c:pt idx="76">
                  <c:v>12.58</c:v>
                </c:pt>
                <c:pt idx="77">
                  <c:v>25.88</c:v>
                </c:pt>
                <c:pt idx="78">
                  <c:v>22.33</c:v>
                </c:pt>
                <c:pt idx="79">
                  <c:v>44.09</c:v>
                </c:pt>
                <c:pt idx="80">
                  <c:v>58.16</c:v>
                </c:pt>
                <c:pt idx="81">
                  <c:v>12.1</c:v>
                </c:pt>
                <c:pt idx="82">
                  <c:v>75.569999999999993</c:v>
                </c:pt>
                <c:pt idx="83">
                  <c:v>74.61</c:v>
                </c:pt>
                <c:pt idx="84">
                  <c:v>73.73</c:v>
                </c:pt>
                <c:pt idx="85">
                  <c:v>74.010000000000005</c:v>
                </c:pt>
                <c:pt idx="86">
                  <c:v>52.97</c:v>
                </c:pt>
                <c:pt idx="87">
                  <c:v>72.430000000000007</c:v>
                </c:pt>
                <c:pt idx="88">
                  <c:v>63.8</c:v>
                </c:pt>
                <c:pt idx="89">
                  <c:v>17.78</c:v>
                </c:pt>
                <c:pt idx="90">
                  <c:v>64.81</c:v>
                </c:pt>
                <c:pt idx="91">
                  <c:v>76.69</c:v>
                </c:pt>
                <c:pt idx="92">
                  <c:v>11.77</c:v>
                </c:pt>
                <c:pt idx="93">
                  <c:v>42.98</c:v>
                </c:pt>
                <c:pt idx="94">
                  <c:v>47.39</c:v>
                </c:pt>
                <c:pt idx="95">
                  <c:v>38.5</c:v>
                </c:pt>
                <c:pt idx="96">
                  <c:v>33.93</c:v>
                </c:pt>
                <c:pt idx="97">
                  <c:v>23.25</c:v>
                </c:pt>
                <c:pt idx="98">
                  <c:v>77.400000000000006</c:v>
                </c:pt>
                <c:pt idx="99">
                  <c:v>12.97</c:v>
                </c:pt>
                <c:pt idx="100">
                  <c:v>78.040000000000006</c:v>
                </c:pt>
                <c:pt idx="101">
                  <c:v>70.040000000000006</c:v>
                </c:pt>
                <c:pt idx="102">
                  <c:v>35.17</c:v>
                </c:pt>
                <c:pt idx="103">
                  <c:v>74.47</c:v>
                </c:pt>
                <c:pt idx="104">
                  <c:v>33.26</c:v>
                </c:pt>
                <c:pt idx="105">
                  <c:v>47.67</c:v>
                </c:pt>
                <c:pt idx="106">
                  <c:v>44.54</c:v>
                </c:pt>
                <c:pt idx="107">
                  <c:v>73.680000000000007</c:v>
                </c:pt>
                <c:pt idx="108">
                  <c:v>9.24</c:v>
                </c:pt>
                <c:pt idx="109">
                  <c:v>18.97</c:v>
                </c:pt>
                <c:pt idx="110">
                  <c:v>68.39</c:v>
                </c:pt>
                <c:pt idx="111">
                  <c:v>60.61</c:v>
                </c:pt>
                <c:pt idx="112">
                  <c:v>10.19</c:v>
                </c:pt>
                <c:pt idx="113">
                  <c:v>15.37</c:v>
                </c:pt>
                <c:pt idx="114">
                  <c:v>26.04</c:v>
                </c:pt>
                <c:pt idx="115">
                  <c:v>49.29</c:v>
                </c:pt>
                <c:pt idx="116">
                  <c:v>72.31</c:v>
                </c:pt>
                <c:pt idx="117">
                  <c:v>24.37</c:v>
                </c:pt>
                <c:pt idx="118">
                  <c:v>7.21</c:v>
                </c:pt>
                <c:pt idx="119">
                  <c:v>24.56</c:v>
                </c:pt>
                <c:pt idx="120">
                  <c:v>40.18</c:v>
                </c:pt>
                <c:pt idx="121">
                  <c:v>50.67</c:v>
                </c:pt>
                <c:pt idx="122">
                  <c:v>9.14</c:v>
                </c:pt>
                <c:pt idx="123">
                  <c:v>30.56</c:v>
                </c:pt>
                <c:pt idx="124">
                  <c:v>64.63</c:v>
                </c:pt>
                <c:pt idx="125">
                  <c:v>32.03</c:v>
                </c:pt>
                <c:pt idx="126">
                  <c:v>29.7</c:v>
                </c:pt>
                <c:pt idx="127">
                  <c:v>64.89</c:v>
                </c:pt>
                <c:pt idx="128">
                  <c:v>9.94</c:v>
                </c:pt>
                <c:pt idx="129">
                  <c:v>28.55</c:v>
                </c:pt>
                <c:pt idx="130">
                  <c:v>36.17</c:v>
                </c:pt>
                <c:pt idx="131">
                  <c:v>35.119999999999997</c:v>
                </c:pt>
                <c:pt idx="132">
                  <c:v>36.53</c:v>
                </c:pt>
                <c:pt idx="133">
                  <c:v>47.22</c:v>
                </c:pt>
                <c:pt idx="134">
                  <c:v>18.98</c:v>
                </c:pt>
                <c:pt idx="135">
                  <c:v>18.72</c:v>
                </c:pt>
                <c:pt idx="136">
                  <c:v>41.61</c:v>
                </c:pt>
                <c:pt idx="137">
                  <c:v>61.38</c:v>
                </c:pt>
                <c:pt idx="138">
                  <c:v>41.47</c:v>
                </c:pt>
                <c:pt idx="139">
                  <c:v>65.930000000000007</c:v>
                </c:pt>
                <c:pt idx="140">
                  <c:v>31.35</c:v>
                </c:pt>
                <c:pt idx="141">
                  <c:v>36.68</c:v>
                </c:pt>
                <c:pt idx="142">
                  <c:v>26.81</c:v>
                </c:pt>
                <c:pt idx="143">
                  <c:v>58.75</c:v>
                </c:pt>
                <c:pt idx="144">
                  <c:v>51.8</c:v>
                </c:pt>
                <c:pt idx="145">
                  <c:v>68.86</c:v>
                </c:pt>
                <c:pt idx="146">
                  <c:v>34.08</c:v>
                </c:pt>
                <c:pt idx="147">
                  <c:v>8.65</c:v>
                </c:pt>
                <c:pt idx="148">
                  <c:v>68.08</c:v>
                </c:pt>
                <c:pt idx="149">
                  <c:v>41.7</c:v>
                </c:pt>
                <c:pt idx="150">
                  <c:v>68.739999999999995</c:v>
                </c:pt>
                <c:pt idx="151">
                  <c:v>77.430000000000007</c:v>
                </c:pt>
                <c:pt idx="152">
                  <c:v>36.36</c:v>
                </c:pt>
                <c:pt idx="153">
                  <c:v>37.96</c:v>
                </c:pt>
                <c:pt idx="154">
                  <c:v>79.349999999999994</c:v>
                </c:pt>
                <c:pt idx="155">
                  <c:v>58.3</c:v>
                </c:pt>
                <c:pt idx="156">
                  <c:v>6.73</c:v>
                </c:pt>
                <c:pt idx="157">
                  <c:v>62.67</c:v>
                </c:pt>
                <c:pt idx="158">
                  <c:v>37.25</c:v>
                </c:pt>
                <c:pt idx="159">
                  <c:v>47.09</c:v>
                </c:pt>
                <c:pt idx="160">
                  <c:v>66</c:v>
                </c:pt>
                <c:pt idx="161">
                  <c:v>37.24</c:v>
                </c:pt>
                <c:pt idx="162">
                  <c:v>54.76</c:v>
                </c:pt>
                <c:pt idx="163">
                  <c:v>44.99</c:v>
                </c:pt>
                <c:pt idx="164">
                  <c:v>42.3</c:v>
                </c:pt>
                <c:pt idx="165">
                  <c:v>71.69</c:v>
                </c:pt>
                <c:pt idx="166">
                  <c:v>69.66</c:v>
                </c:pt>
                <c:pt idx="167">
                  <c:v>66.17</c:v>
                </c:pt>
                <c:pt idx="168">
                  <c:v>49.2</c:v>
                </c:pt>
                <c:pt idx="169">
                  <c:v>27.79</c:v>
                </c:pt>
                <c:pt idx="170">
                  <c:v>41.49</c:v>
                </c:pt>
                <c:pt idx="171">
                  <c:v>64.489999999999995</c:v>
                </c:pt>
                <c:pt idx="172">
                  <c:v>53.61</c:v>
                </c:pt>
                <c:pt idx="173">
                  <c:v>45.9</c:v>
                </c:pt>
                <c:pt idx="174">
                  <c:v>47.62</c:v>
                </c:pt>
                <c:pt idx="175">
                  <c:v>9.2799999999999994</c:v>
                </c:pt>
                <c:pt idx="176">
                  <c:v>38.08</c:v>
                </c:pt>
                <c:pt idx="177">
                  <c:v>73.510000000000005</c:v>
                </c:pt>
                <c:pt idx="178">
                  <c:v>63.09</c:v>
                </c:pt>
                <c:pt idx="179">
                  <c:v>12.77</c:v>
                </c:pt>
                <c:pt idx="180">
                  <c:v>67.91</c:v>
                </c:pt>
                <c:pt idx="181">
                  <c:v>55.65</c:v>
                </c:pt>
                <c:pt idx="182">
                  <c:v>32.39</c:v>
                </c:pt>
                <c:pt idx="183">
                  <c:v>65.78</c:v>
                </c:pt>
                <c:pt idx="184">
                  <c:v>54.17</c:v>
                </c:pt>
                <c:pt idx="185">
                  <c:v>6.42</c:v>
                </c:pt>
                <c:pt idx="186">
                  <c:v>5.25</c:v>
                </c:pt>
                <c:pt idx="187">
                  <c:v>26.73</c:v>
                </c:pt>
                <c:pt idx="188">
                  <c:v>79.099999999999994</c:v>
                </c:pt>
                <c:pt idx="189">
                  <c:v>32.880000000000003</c:v>
                </c:pt>
                <c:pt idx="190">
                  <c:v>16.059999999999999</c:v>
                </c:pt>
                <c:pt idx="191">
                  <c:v>46.86</c:v>
                </c:pt>
                <c:pt idx="192">
                  <c:v>50.58</c:v>
                </c:pt>
                <c:pt idx="193">
                  <c:v>32.549999999999997</c:v>
                </c:pt>
                <c:pt idx="194">
                  <c:v>34.28</c:v>
                </c:pt>
                <c:pt idx="195">
                  <c:v>15.93</c:v>
                </c:pt>
                <c:pt idx="196">
                  <c:v>38.979999999999997</c:v>
                </c:pt>
                <c:pt idx="197">
                  <c:v>50.23</c:v>
                </c:pt>
                <c:pt idx="198">
                  <c:v>77.290000000000006</c:v>
                </c:pt>
                <c:pt idx="199">
                  <c:v>61.94</c:v>
                </c:pt>
                <c:pt idx="200">
                  <c:v>54.21</c:v>
                </c:pt>
                <c:pt idx="201">
                  <c:v>45.46</c:v>
                </c:pt>
                <c:pt idx="202">
                  <c:v>22.03</c:v>
                </c:pt>
                <c:pt idx="203">
                  <c:v>48.03</c:v>
                </c:pt>
                <c:pt idx="204">
                  <c:v>65.39</c:v>
                </c:pt>
                <c:pt idx="205">
                  <c:v>53.69</c:v>
                </c:pt>
                <c:pt idx="206">
                  <c:v>36.549999999999997</c:v>
                </c:pt>
                <c:pt idx="207">
                  <c:v>44.04</c:v>
                </c:pt>
                <c:pt idx="208">
                  <c:v>55.3</c:v>
                </c:pt>
                <c:pt idx="209">
                  <c:v>21.15</c:v>
                </c:pt>
                <c:pt idx="210">
                  <c:v>55.9</c:v>
                </c:pt>
                <c:pt idx="211">
                  <c:v>14.59</c:v>
                </c:pt>
                <c:pt idx="212">
                  <c:v>31.49</c:v>
                </c:pt>
                <c:pt idx="213">
                  <c:v>52.28</c:v>
                </c:pt>
                <c:pt idx="214">
                  <c:v>38.909999999999997</c:v>
                </c:pt>
                <c:pt idx="215">
                  <c:v>44.22</c:v>
                </c:pt>
                <c:pt idx="216">
                  <c:v>61.07</c:v>
                </c:pt>
                <c:pt idx="217">
                  <c:v>69.16</c:v>
                </c:pt>
                <c:pt idx="218">
                  <c:v>67.22</c:v>
                </c:pt>
                <c:pt idx="219">
                  <c:v>22</c:v>
                </c:pt>
                <c:pt idx="220">
                  <c:v>58.17</c:v>
                </c:pt>
                <c:pt idx="221">
                  <c:v>30.55</c:v>
                </c:pt>
                <c:pt idx="222">
                  <c:v>22.38</c:v>
                </c:pt>
                <c:pt idx="223">
                  <c:v>9.2200000000000006</c:v>
                </c:pt>
                <c:pt idx="224">
                  <c:v>58.44</c:v>
                </c:pt>
                <c:pt idx="225">
                  <c:v>44.78</c:v>
                </c:pt>
                <c:pt idx="226">
                  <c:v>36.82</c:v>
                </c:pt>
                <c:pt idx="227">
                  <c:v>10.35</c:v>
                </c:pt>
                <c:pt idx="228">
                  <c:v>34.479999999999997</c:v>
                </c:pt>
                <c:pt idx="229">
                  <c:v>39.31</c:v>
                </c:pt>
                <c:pt idx="230">
                  <c:v>47.97</c:v>
                </c:pt>
                <c:pt idx="231">
                  <c:v>37.369999999999997</c:v>
                </c:pt>
                <c:pt idx="232">
                  <c:v>35.380000000000003</c:v>
                </c:pt>
                <c:pt idx="233">
                  <c:v>71.81</c:v>
                </c:pt>
                <c:pt idx="234">
                  <c:v>6.13</c:v>
                </c:pt>
                <c:pt idx="235">
                  <c:v>31.15</c:v>
                </c:pt>
                <c:pt idx="236">
                  <c:v>10.55</c:v>
                </c:pt>
                <c:pt idx="237">
                  <c:v>29.45</c:v>
                </c:pt>
                <c:pt idx="238">
                  <c:v>17.829999999999998</c:v>
                </c:pt>
                <c:pt idx="239">
                  <c:v>11.43</c:v>
                </c:pt>
                <c:pt idx="240">
                  <c:v>52.15</c:v>
                </c:pt>
                <c:pt idx="241">
                  <c:v>30.22</c:v>
                </c:pt>
                <c:pt idx="242">
                  <c:v>26.9</c:v>
                </c:pt>
                <c:pt idx="243">
                  <c:v>58.73</c:v>
                </c:pt>
                <c:pt idx="244">
                  <c:v>34.840000000000003</c:v>
                </c:pt>
                <c:pt idx="245">
                  <c:v>23.05</c:v>
                </c:pt>
                <c:pt idx="246">
                  <c:v>48.45</c:v>
                </c:pt>
                <c:pt idx="247">
                  <c:v>40.89</c:v>
                </c:pt>
                <c:pt idx="248">
                  <c:v>53.08</c:v>
                </c:pt>
                <c:pt idx="249">
                  <c:v>23.43</c:v>
                </c:pt>
                <c:pt idx="250">
                  <c:v>49.82</c:v>
                </c:pt>
                <c:pt idx="251">
                  <c:v>24.67</c:v>
                </c:pt>
                <c:pt idx="252">
                  <c:v>12.31</c:v>
                </c:pt>
                <c:pt idx="253">
                  <c:v>75.31</c:v>
                </c:pt>
                <c:pt idx="254">
                  <c:v>62.79</c:v>
                </c:pt>
                <c:pt idx="255">
                  <c:v>48.66</c:v>
                </c:pt>
                <c:pt idx="256">
                  <c:v>61.65</c:v>
                </c:pt>
                <c:pt idx="257">
                  <c:v>23.67</c:v>
                </c:pt>
                <c:pt idx="258">
                  <c:v>8.6199999999999992</c:v>
                </c:pt>
                <c:pt idx="259">
                  <c:v>34.840000000000003</c:v>
                </c:pt>
                <c:pt idx="260">
                  <c:v>41.77</c:v>
                </c:pt>
                <c:pt idx="261">
                  <c:v>9.01</c:v>
                </c:pt>
                <c:pt idx="262">
                  <c:v>9.2100000000000009</c:v>
                </c:pt>
                <c:pt idx="263">
                  <c:v>14.87</c:v>
                </c:pt>
                <c:pt idx="264">
                  <c:v>30.75</c:v>
                </c:pt>
                <c:pt idx="265">
                  <c:v>26.31</c:v>
                </c:pt>
                <c:pt idx="266">
                  <c:v>78.17</c:v>
                </c:pt>
                <c:pt idx="267">
                  <c:v>21.99</c:v>
                </c:pt>
                <c:pt idx="268">
                  <c:v>50.24</c:v>
                </c:pt>
                <c:pt idx="269">
                  <c:v>41.16</c:v>
                </c:pt>
                <c:pt idx="270">
                  <c:v>18.07</c:v>
                </c:pt>
                <c:pt idx="271">
                  <c:v>57.3</c:v>
                </c:pt>
                <c:pt idx="272">
                  <c:v>27.63</c:v>
                </c:pt>
                <c:pt idx="273">
                  <c:v>27.03</c:v>
                </c:pt>
                <c:pt idx="274">
                  <c:v>39.78</c:v>
                </c:pt>
                <c:pt idx="275">
                  <c:v>78.06</c:v>
                </c:pt>
                <c:pt idx="276">
                  <c:v>77</c:v>
                </c:pt>
                <c:pt idx="277">
                  <c:v>27.39</c:v>
                </c:pt>
                <c:pt idx="278">
                  <c:v>10.69</c:v>
                </c:pt>
                <c:pt idx="279">
                  <c:v>71.13</c:v>
                </c:pt>
                <c:pt idx="280">
                  <c:v>36.47</c:v>
                </c:pt>
                <c:pt idx="281">
                  <c:v>12.81</c:v>
                </c:pt>
                <c:pt idx="282">
                  <c:v>12.24</c:v>
                </c:pt>
                <c:pt idx="283">
                  <c:v>12.91</c:v>
                </c:pt>
                <c:pt idx="284">
                  <c:v>70.08</c:v>
                </c:pt>
                <c:pt idx="285">
                  <c:v>31.52</c:v>
                </c:pt>
                <c:pt idx="286">
                  <c:v>47.22</c:v>
                </c:pt>
                <c:pt idx="287">
                  <c:v>70.52</c:v>
                </c:pt>
                <c:pt idx="288">
                  <c:v>73.63</c:v>
                </c:pt>
                <c:pt idx="289">
                  <c:v>35.67</c:v>
                </c:pt>
                <c:pt idx="290">
                  <c:v>66.16</c:v>
                </c:pt>
                <c:pt idx="291">
                  <c:v>35.630000000000003</c:v>
                </c:pt>
                <c:pt idx="292">
                  <c:v>34.61</c:v>
                </c:pt>
                <c:pt idx="293">
                  <c:v>60.37</c:v>
                </c:pt>
                <c:pt idx="294">
                  <c:v>75.62</c:v>
                </c:pt>
                <c:pt idx="295">
                  <c:v>18.670000000000002</c:v>
                </c:pt>
                <c:pt idx="296">
                  <c:v>6.12</c:v>
                </c:pt>
                <c:pt idx="297">
                  <c:v>29.66</c:v>
                </c:pt>
                <c:pt idx="298">
                  <c:v>77.16</c:v>
                </c:pt>
                <c:pt idx="299">
                  <c:v>50.16</c:v>
                </c:pt>
                <c:pt idx="300">
                  <c:v>72.73</c:v>
                </c:pt>
                <c:pt idx="301">
                  <c:v>22.5</c:v>
                </c:pt>
                <c:pt idx="302">
                  <c:v>16.63</c:v>
                </c:pt>
                <c:pt idx="303">
                  <c:v>78.930000000000007</c:v>
                </c:pt>
                <c:pt idx="304">
                  <c:v>69.17</c:v>
                </c:pt>
                <c:pt idx="305">
                  <c:v>49.35</c:v>
                </c:pt>
                <c:pt idx="306">
                  <c:v>20.41</c:v>
                </c:pt>
                <c:pt idx="307">
                  <c:v>23.08</c:v>
                </c:pt>
                <c:pt idx="308">
                  <c:v>8.02</c:v>
                </c:pt>
                <c:pt idx="309">
                  <c:v>67.42</c:v>
                </c:pt>
                <c:pt idx="310">
                  <c:v>73.599999999999994</c:v>
                </c:pt>
                <c:pt idx="311">
                  <c:v>77.63</c:v>
                </c:pt>
                <c:pt idx="312">
                  <c:v>62.24</c:v>
                </c:pt>
                <c:pt idx="313">
                  <c:v>56.33</c:v>
                </c:pt>
                <c:pt idx="314">
                  <c:v>33.14</c:v>
                </c:pt>
                <c:pt idx="315">
                  <c:v>53.36</c:v>
                </c:pt>
                <c:pt idx="316">
                  <c:v>56.47</c:v>
                </c:pt>
                <c:pt idx="317">
                  <c:v>25.73</c:v>
                </c:pt>
                <c:pt idx="318">
                  <c:v>24.76</c:v>
                </c:pt>
                <c:pt idx="319">
                  <c:v>72.09</c:v>
                </c:pt>
                <c:pt idx="320">
                  <c:v>9.1199999999999992</c:v>
                </c:pt>
                <c:pt idx="321">
                  <c:v>79.989999999999995</c:v>
                </c:pt>
                <c:pt idx="322">
                  <c:v>75.16</c:v>
                </c:pt>
                <c:pt idx="323">
                  <c:v>60.57</c:v>
                </c:pt>
                <c:pt idx="324">
                  <c:v>29.93</c:v>
                </c:pt>
                <c:pt idx="325">
                  <c:v>56.91</c:v>
                </c:pt>
                <c:pt idx="326">
                  <c:v>60.13</c:v>
                </c:pt>
                <c:pt idx="327">
                  <c:v>15.72</c:v>
                </c:pt>
                <c:pt idx="328">
                  <c:v>49.42</c:v>
                </c:pt>
                <c:pt idx="329">
                  <c:v>27.62</c:v>
                </c:pt>
                <c:pt idx="330">
                  <c:v>75.87</c:v>
                </c:pt>
                <c:pt idx="331">
                  <c:v>49.71</c:v>
                </c:pt>
                <c:pt idx="332">
                  <c:v>44.77</c:v>
                </c:pt>
                <c:pt idx="333">
                  <c:v>69.14</c:v>
                </c:pt>
                <c:pt idx="334">
                  <c:v>31.46</c:v>
                </c:pt>
                <c:pt idx="335">
                  <c:v>19.329999999999998</c:v>
                </c:pt>
                <c:pt idx="336">
                  <c:v>59.94</c:v>
                </c:pt>
                <c:pt idx="337">
                  <c:v>9.06</c:v>
                </c:pt>
                <c:pt idx="338">
                  <c:v>68.47</c:v>
                </c:pt>
                <c:pt idx="339">
                  <c:v>30.56</c:v>
                </c:pt>
                <c:pt idx="340">
                  <c:v>69.67</c:v>
                </c:pt>
                <c:pt idx="341">
                  <c:v>41.1</c:v>
                </c:pt>
                <c:pt idx="342">
                  <c:v>61.71</c:v>
                </c:pt>
                <c:pt idx="343">
                  <c:v>36.630000000000003</c:v>
                </c:pt>
                <c:pt idx="344">
                  <c:v>64.83</c:v>
                </c:pt>
                <c:pt idx="345">
                  <c:v>47.62</c:v>
                </c:pt>
                <c:pt idx="346">
                  <c:v>53.5</c:v>
                </c:pt>
                <c:pt idx="347">
                  <c:v>20.14</c:v>
                </c:pt>
                <c:pt idx="348">
                  <c:v>63.85</c:v>
                </c:pt>
                <c:pt idx="349">
                  <c:v>78.16</c:v>
                </c:pt>
                <c:pt idx="350">
                  <c:v>70.33</c:v>
                </c:pt>
                <c:pt idx="351">
                  <c:v>5.16</c:v>
                </c:pt>
                <c:pt idx="352">
                  <c:v>37.44</c:v>
                </c:pt>
                <c:pt idx="353">
                  <c:v>35.659999999999997</c:v>
                </c:pt>
                <c:pt idx="354">
                  <c:v>27.33</c:v>
                </c:pt>
                <c:pt idx="355">
                  <c:v>60.46</c:v>
                </c:pt>
                <c:pt idx="356">
                  <c:v>18.78</c:v>
                </c:pt>
                <c:pt idx="357">
                  <c:v>76.05</c:v>
                </c:pt>
                <c:pt idx="358">
                  <c:v>54.71</c:v>
                </c:pt>
                <c:pt idx="359">
                  <c:v>44.4</c:v>
                </c:pt>
                <c:pt idx="360">
                  <c:v>18.86</c:v>
                </c:pt>
                <c:pt idx="361">
                  <c:v>64.81</c:v>
                </c:pt>
                <c:pt idx="362">
                  <c:v>71.22</c:v>
                </c:pt>
                <c:pt idx="363">
                  <c:v>25.82</c:v>
                </c:pt>
                <c:pt idx="364">
                  <c:v>19.940000000000001</c:v>
                </c:pt>
                <c:pt idx="365">
                  <c:v>37.42</c:v>
                </c:pt>
                <c:pt idx="366">
                  <c:v>79.66</c:v>
                </c:pt>
                <c:pt idx="367">
                  <c:v>6.27</c:v>
                </c:pt>
                <c:pt idx="368">
                  <c:v>24.62</c:v>
                </c:pt>
                <c:pt idx="369">
                  <c:v>73.64</c:v>
                </c:pt>
                <c:pt idx="370">
                  <c:v>73.22</c:v>
                </c:pt>
                <c:pt idx="371">
                  <c:v>18.3</c:v>
                </c:pt>
                <c:pt idx="372">
                  <c:v>11.18</c:v>
                </c:pt>
                <c:pt idx="373">
                  <c:v>22.31</c:v>
                </c:pt>
                <c:pt idx="374">
                  <c:v>62.71</c:v>
                </c:pt>
                <c:pt idx="375">
                  <c:v>66.14</c:v>
                </c:pt>
                <c:pt idx="376">
                  <c:v>25.74</c:v>
                </c:pt>
                <c:pt idx="377">
                  <c:v>73.77</c:v>
                </c:pt>
                <c:pt idx="378">
                  <c:v>51.14</c:v>
                </c:pt>
                <c:pt idx="379">
                  <c:v>46.77</c:v>
                </c:pt>
                <c:pt idx="380">
                  <c:v>16.87</c:v>
                </c:pt>
                <c:pt idx="381">
                  <c:v>77.819999999999993</c:v>
                </c:pt>
                <c:pt idx="382">
                  <c:v>49.24</c:v>
                </c:pt>
                <c:pt idx="383">
                  <c:v>46.29</c:v>
                </c:pt>
                <c:pt idx="384">
                  <c:v>20.63</c:v>
                </c:pt>
                <c:pt idx="385">
                  <c:v>8.4</c:v>
                </c:pt>
                <c:pt idx="386">
                  <c:v>16.32</c:v>
                </c:pt>
                <c:pt idx="387">
                  <c:v>68.55</c:v>
                </c:pt>
                <c:pt idx="388">
                  <c:v>47.74</c:v>
                </c:pt>
                <c:pt idx="389">
                  <c:v>58.61</c:v>
                </c:pt>
                <c:pt idx="390">
                  <c:v>34.08</c:v>
                </c:pt>
                <c:pt idx="391">
                  <c:v>62.46</c:v>
                </c:pt>
                <c:pt idx="392">
                  <c:v>73.67</c:v>
                </c:pt>
                <c:pt idx="393">
                  <c:v>7.11</c:v>
                </c:pt>
                <c:pt idx="394">
                  <c:v>54.83</c:v>
                </c:pt>
                <c:pt idx="395">
                  <c:v>20.350000000000001</c:v>
                </c:pt>
                <c:pt idx="396">
                  <c:v>29.79</c:v>
                </c:pt>
                <c:pt idx="397">
                  <c:v>37.46</c:v>
                </c:pt>
                <c:pt idx="398">
                  <c:v>25.44</c:v>
                </c:pt>
                <c:pt idx="399">
                  <c:v>16.510000000000002</c:v>
                </c:pt>
                <c:pt idx="400">
                  <c:v>65.930000000000007</c:v>
                </c:pt>
                <c:pt idx="401">
                  <c:v>13.63</c:v>
                </c:pt>
                <c:pt idx="402">
                  <c:v>64.53</c:v>
                </c:pt>
                <c:pt idx="403">
                  <c:v>67.489999999999995</c:v>
                </c:pt>
                <c:pt idx="404">
                  <c:v>32.72</c:v>
                </c:pt>
                <c:pt idx="405">
                  <c:v>35.01</c:v>
                </c:pt>
                <c:pt idx="406">
                  <c:v>18.59</c:v>
                </c:pt>
                <c:pt idx="407">
                  <c:v>40.58</c:v>
                </c:pt>
                <c:pt idx="408">
                  <c:v>35.65</c:v>
                </c:pt>
                <c:pt idx="409">
                  <c:v>8.3000000000000007</c:v>
                </c:pt>
                <c:pt idx="410">
                  <c:v>55.65</c:v>
                </c:pt>
                <c:pt idx="411">
                  <c:v>58.54</c:v>
                </c:pt>
                <c:pt idx="412">
                  <c:v>35.880000000000003</c:v>
                </c:pt>
                <c:pt idx="413">
                  <c:v>74.03</c:v>
                </c:pt>
                <c:pt idx="414">
                  <c:v>68.150000000000006</c:v>
                </c:pt>
                <c:pt idx="415">
                  <c:v>33.840000000000003</c:v>
                </c:pt>
                <c:pt idx="416">
                  <c:v>22.7</c:v>
                </c:pt>
                <c:pt idx="417">
                  <c:v>31.89</c:v>
                </c:pt>
                <c:pt idx="418">
                  <c:v>48.22</c:v>
                </c:pt>
                <c:pt idx="419">
                  <c:v>79.25</c:v>
                </c:pt>
                <c:pt idx="420">
                  <c:v>31.23</c:v>
                </c:pt>
                <c:pt idx="421">
                  <c:v>13.31</c:v>
                </c:pt>
                <c:pt idx="422">
                  <c:v>22.41</c:v>
                </c:pt>
                <c:pt idx="423">
                  <c:v>72.459999999999994</c:v>
                </c:pt>
                <c:pt idx="424">
                  <c:v>26.15</c:v>
                </c:pt>
                <c:pt idx="425">
                  <c:v>58.57</c:v>
                </c:pt>
                <c:pt idx="426">
                  <c:v>73.849999999999994</c:v>
                </c:pt>
                <c:pt idx="427">
                  <c:v>72.31</c:v>
                </c:pt>
                <c:pt idx="428">
                  <c:v>12.55</c:v>
                </c:pt>
                <c:pt idx="429">
                  <c:v>25.1</c:v>
                </c:pt>
                <c:pt idx="430">
                  <c:v>14.82</c:v>
                </c:pt>
                <c:pt idx="431">
                  <c:v>56.44</c:v>
                </c:pt>
                <c:pt idx="432">
                  <c:v>12.58</c:v>
                </c:pt>
                <c:pt idx="433">
                  <c:v>7.47</c:v>
                </c:pt>
                <c:pt idx="434">
                  <c:v>20.93</c:v>
                </c:pt>
                <c:pt idx="435">
                  <c:v>34.770000000000003</c:v>
                </c:pt>
                <c:pt idx="436">
                  <c:v>33.700000000000003</c:v>
                </c:pt>
                <c:pt idx="437">
                  <c:v>46.23</c:v>
                </c:pt>
                <c:pt idx="438">
                  <c:v>74.42</c:v>
                </c:pt>
                <c:pt idx="439">
                  <c:v>53.6</c:v>
                </c:pt>
                <c:pt idx="440">
                  <c:v>55.99</c:v>
                </c:pt>
                <c:pt idx="441">
                  <c:v>50.02</c:v>
                </c:pt>
                <c:pt idx="442">
                  <c:v>65.11</c:v>
                </c:pt>
                <c:pt idx="443">
                  <c:v>22.04</c:v>
                </c:pt>
                <c:pt idx="444">
                  <c:v>28.23</c:v>
                </c:pt>
                <c:pt idx="445">
                  <c:v>72.75</c:v>
                </c:pt>
                <c:pt idx="446">
                  <c:v>70.87</c:v>
                </c:pt>
                <c:pt idx="447">
                  <c:v>29.31</c:v>
                </c:pt>
                <c:pt idx="448">
                  <c:v>59.96</c:v>
                </c:pt>
                <c:pt idx="449">
                  <c:v>12.69</c:v>
                </c:pt>
                <c:pt idx="450">
                  <c:v>75.61</c:v>
                </c:pt>
                <c:pt idx="451">
                  <c:v>66.459999999999994</c:v>
                </c:pt>
                <c:pt idx="452">
                  <c:v>60.32</c:v>
                </c:pt>
                <c:pt idx="453">
                  <c:v>43.03</c:v>
                </c:pt>
                <c:pt idx="454">
                  <c:v>44.52</c:v>
                </c:pt>
                <c:pt idx="455">
                  <c:v>5.9</c:v>
                </c:pt>
                <c:pt idx="456">
                  <c:v>17.84</c:v>
                </c:pt>
                <c:pt idx="457">
                  <c:v>47.38</c:v>
                </c:pt>
                <c:pt idx="458">
                  <c:v>70.16</c:v>
                </c:pt>
                <c:pt idx="459">
                  <c:v>56.23</c:v>
                </c:pt>
                <c:pt idx="460">
                  <c:v>9.8800000000000008</c:v>
                </c:pt>
                <c:pt idx="461">
                  <c:v>17.55</c:v>
                </c:pt>
                <c:pt idx="462">
                  <c:v>27.66</c:v>
                </c:pt>
                <c:pt idx="463">
                  <c:v>6.09</c:v>
                </c:pt>
                <c:pt idx="464">
                  <c:v>67.02</c:v>
                </c:pt>
                <c:pt idx="465">
                  <c:v>21.86</c:v>
                </c:pt>
                <c:pt idx="466">
                  <c:v>73.87</c:v>
                </c:pt>
                <c:pt idx="467">
                  <c:v>37.299999999999997</c:v>
                </c:pt>
                <c:pt idx="468">
                  <c:v>75.650000000000006</c:v>
                </c:pt>
                <c:pt idx="469">
                  <c:v>60.02</c:v>
                </c:pt>
                <c:pt idx="470">
                  <c:v>41.25</c:v>
                </c:pt>
                <c:pt idx="471">
                  <c:v>78.62</c:v>
                </c:pt>
                <c:pt idx="472">
                  <c:v>8.23</c:v>
                </c:pt>
                <c:pt idx="473">
                  <c:v>29.01</c:v>
                </c:pt>
                <c:pt idx="474">
                  <c:v>45.28</c:v>
                </c:pt>
                <c:pt idx="475">
                  <c:v>15.17</c:v>
                </c:pt>
                <c:pt idx="476">
                  <c:v>33.61</c:v>
                </c:pt>
                <c:pt idx="477">
                  <c:v>39.94</c:v>
                </c:pt>
                <c:pt idx="478">
                  <c:v>57.11</c:v>
                </c:pt>
                <c:pt idx="479">
                  <c:v>25.3</c:v>
                </c:pt>
                <c:pt idx="480">
                  <c:v>26.1</c:v>
                </c:pt>
                <c:pt idx="481">
                  <c:v>63.66</c:v>
                </c:pt>
                <c:pt idx="482">
                  <c:v>65.59</c:v>
                </c:pt>
                <c:pt idx="483">
                  <c:v>20.100000000000001</c:v>
                </c:pt>
                <c:pt idx="484">
                  <c:v>64.77</c:v>
                </c:pt>
                <c:pt idx="485">
                  <c:v>65.13</c:v>
                </c:pt>
                <c:pt idx="486">
                  <c:v>27.61</c:v>
                </c:pt>
                <c:pt idx="487">
                  <c:v>16.72</c:v>
                </c:pt>
                <c:pt idx="488">
                  <c:v>30.4</c:v>
                </c:pt>
                <c:pt idx="489">
                  <c:v>44.53</c:v>
                </c:pt>
                <c:pt idx="490">
                  <c:v>61.72</c:v>
                </c:pt>
                <c:pt idx="491">
                  <c:v>17</c:v>
                </c:pt>
                <c:pt idx="492">
                  <c:v>7.42</c:v>
                </c:pt>
                <c:pt idx="493">
                  <c:v>22.66</c:v>
                </c:pt>
                <c:pt idx="494">
                  <c:v>45.74</c:v>
                </c:pt>
                <c:pt idx="495">
                  <c:v>79.98</c:v>
                </c:pt>
                <c:pt idx="496">
                  <c:v>30.39</c:v>
                </c:pt>
                <c:pt idx="497">
                  <c:v>68.239999999999995</c:v>
                </c:pt>
                <c:pt idx="498">
                  <c:v>75.290000000000006</c:v>
                </c:pt>
                <c:pt idx="499">
                  <c:v>57.62</c:v>
                </c:pt>
                <c:pt idx="500">
                  <c:v>50.96</c:v>
                </c:pt>
                <c:pt idx="501">
                  <c:v>77.790000000000006</c:v>
                </c:pt>
                <c:pt idx="502">
                  <c:v>31.46</c:v>
                </c:pt>
                <c:pt idx="503">
                  <c:v>44.6</c:v>
                </c:pt>
                <c:pt idx="504">
                  <c:v>5.96</c:v>
                </c:pt>
                <c:pt idx="505">
                  <c:v>13.99</c:v>
                </c:pt>
                <c:pt idx="506">
                  <c:v>75.650000000000006</c:v>
                </c:pt>
                <c:pt idx="507">
                  <c:v>74.510000000000005</c:v>
                </c:pt>
                <c:pt idx="508">
                  <c:v>60.58</c:v>
                </c:pt>
                <c:pt idx="509">
                  <c:v>7.98</c:v>
                </c:pt>
                <c:pt idx="510">
                  <c:v>38.619999999999997</c:v>
                </c:pt>
                <c:pt idx="511">
                  <c:v>42.09</c:v>
                </c:pt>
                <c:pt idx="512">
                  <c:v>6.52</c:v>
                </c:pt>
                <c:pt idx="513">
                  <c:v>56.94</c:v>
                </c:pt>
                <c:pt idx="514">
                  <c:v>55.07</c:v>
                </c:pt>
                <c:pt idx="515">
                  <c:v>66.58</c:v>
                </c:pt>
                <c:pt idx="516">
                  <c:v>52.31</c:v>
                </c:pt>
                <c:pt idx="517">
                  <c:v>36.04</c:v>
                </c:pt>
                <c:pt idx="518">
                  <c:v>52.74</c:v>
                </c:pt>
                <c:pt idx="519">
                  <c:v>79.86</c:v>
                </c:pt>
                <c:pt idx="520">
                  <c:v>25.19</c:v>
                </c:pt>
                <c:pt idx="521">
                  <c:v>58.85</c:v>
                </c:pt>
                <c:pt idx="522">
                  <c:v>17.87</c:v>
                </c:pt>
                <c:pt idx="523">
                  <c:v>36.51</c:v>
                </c:pt>
                <c:pt idx="524">
                  <c:v>71.010000000000005</c:v>
                </c:pt>
                <c:pt idx="525">
                  <c:v>18.47</c:v>
                </c:pt>
                <c:pt idx="526">
                  <c:v>78.58</c:v>
                </c:pt>
                <c:pt idx="527">
                  <c:v>51.32</c:v>
                </c:pt>
                <c:pt idx="528">
                  <c:v>53.08</c:v>
                </c:pt>
                <c:pt idx="529">
                  <c:v>61.69</c:v>
                </c:pt>
                <c:pt idx="530">
                  <c:v>8.6199999999999992</c:v>
                </c:pt>
                <c:pt idx="531">
                  <c:v>57.18</c:v>
                </c:pt>
                <c:pt idx="532">
                  <c:v>37.549999999999997</c:v>
                </c:pt>
                <c:pt idx="533">
                  <c:v>15.3</c:v>
                </c:pt>
                <c:pt idx="534">
                  <c:v>55.95</c:v>
                </c:pt>
                <c:pt idx="535">
                  <c:v>68.17</c:v>
                </c:pt>
                <c:pt idx="536">
                  <c:v>8.2100000000000009</c:v>
                </c:pt>
                <c:pt idx="537">
                  <c:v>62.69</c:v>
                </c:pt>
                <c:pt idx="538">
                  <c:v>76.7</c:v>
                </c:pt>
                <c:pt idx="539">
                  <c:v>38.409999999999997</c:v>
                </c:pt>
                <c:pt idx="540">
                  <c:v>39.049999999999997</c:v>
                </c:pt>
                <c:pt idx="541">
                  <c:v>29.99</c:v>
                </c:pt>
                <c:pt idx="542">
                  <c:v>68.97</c:v>
                </c:pt>
                <c:pt idx="543">
                  <c:v>56.95</c:v>
                </c:pt>
                <c:pt idx="544">
                  <c:v>16.079999999999998</c:v>
                </c:pt>
                <c:pt idx="545">
                  <c:v>22</c:v>
                </c:pt>
                <c:pt idx="546">
                  <c:v>43.58</c:v>
                </c:pt>
                <c:pt idx="547">
                  <c:v>18.28</c:v>
                </c:pt>
                <c:pt idx="548">
                  <c:v>63.35</c:v>
                </c:pt>
                <c:pt idx="549">
                  <c:v>32.659999999999997</c:v>
                </c:pt>
                <c:pt idx="550">
                  <c:v>49.34</c:v>
                </c:pt>
                <c:pt idx="551">
                  <c:v>51.9</c:v>
                </c:pt>
                <c:pt idx="552">
                  <c:v>9.4499999999999993</c:v>
                </c:pt>
                <c:pt idx="553">
                  <c:v>39.94</c:v>
                </c:pt>
                <c:pt idx="554">
                  <c:v>34.11</c:v>
                </c:pt>
                <c:pt idx="555">
                  <c:v>15.24</c:v>
                </c:pt>
                <c:pt idx="556">
                  <c:v>13.72</c:v>
                </c:pt>
                <c:pt idx="557">
                  <c:v>34.21</c:v>
                </c:pt>
                <c:pt idx="558">
                  <c:v>20.58</c:v>
                </c:pt>
                <c:pt idx="559">
                  <c:v>47.41</c:v>
                </c:pt>
                <c:pt idx="560">
                  <c:v>57.5</c:v>
                </c:pt>
                <c:pt idx="561">
                  <c:v>15.52</c:v>
                </c:pt>
                <c:pt idx="562">
                  <c:v>57.08</c:v>
                </c:pt>
                <c:pt idx="563">
                  <c:v>50.46</c:v>
                </c:pt>
                <c:pt idx="564">
                  <c:v>40.5</c:v>
                </c:pt>
                <c:pt idx="565">
                  <c:v>8.0500000000000007</c:v>
                </c:pt>
                <c:pt idx="566">
                  <c:v>12.64</c:v>
                </c:pt>
                <c:pt idx="567">
                  <c:v>42.42</c:v>
                </c:pt>
                <c:pt idx="568">
                  <c:v>42.31</c:v>
                </c:pt>
                <c:pt idx="569">
                  <c:v>58.18</c:v>
                </c:pt>
                <c:pt idx="570">
                  <c:v>75.37</c:v>
                </c:pt>
                <c:pt idx="571">
                  <c:v>24.36</c:v>
                </c:pt>
                <c:pt idx="572">
                  <c:v>41.22</c:v>
                </c:pt>
                <c:pt idx="573">
                  <c:v>79.48</c:v>
                </c:pt>
                <c:pt idx="574">
                  <c:v>74.13</c:v>
                </c:pt>
                <c:pt idx="575">
                  <c:v>71.319999999999993</c:v>
                </c:pt>
                <c:pt idx="576">
                  <c:v>42.98</c:v>
                </c:pt>
                <c:pt idx="577">
                  <c:v>13.86</c:v>
                </c:pt>
                <c:pt idx="578">
                  <c:v>55.67</c:v>
                </c:pt>
                <c:pt idx="579">
                  <c:v>62.11</c:v>
                </c:pt>
                <c:pt idx="580">
                  <c:v>15.98</c:v>
                </c:pt>
                <c:pt idx="581">
                  <c:v>74.17</c:v>
                </c:pt>
                <c:pt idx="582">
                  <c:v>79.92</c:v>
                </c:pt>
                <c:pt idx="583">
                  <c:v>28.46</c:v>
                </c:pt>
                <c:pt idx="584">
                  <c:v>8.42</c:v>
                </c:pt>
                <c:pt idx="585">
                  <c:v>26.65</c:v>
                </c:pt>
                <c:pt idx="586">
                  <c:v>79.19</c:v>
                </c:pt>
                <c:pt idx="587">
                  <c:v>54.57</c:v>
                </c:pt>
                <c:pt idx="588">
                  <c:v>58.67</c:v>
                </c:pt>
                <c:pt idx="589">
                  <c:v>45.66</c:v>
                </c:pt>
                <c:pt idx="590">
                  <c:v>70.98</c:v>
                </c:pt>
                <c:pt idx="591">
                  <c:v>52.34</c:v>
                </c:pt>
                <c:pt idx="592">
                  <c:v>23.15</c:v>
                </c:pt>
                <c:pt idx="593">
                  <c:v>53.28</c:v>
                </c:pt>
                <c:pt idx="594">
                  <c:v>72.819999999999993</c:v>
                </c:pt>
                <c:pt idx="595">
                  <c:v>64.87</c:v>
                </c:pt>
                <c:pt idx="596">
                  <c:v>77.22</c:v>
                </c:pt>
                <c:pt idx="597">
                  <c:v>29.81</c:v>
                </c:pt>
                <c:pt idx="598">
                  <c:v>8.5399999999999991</c:v>
                </c:pt>
                <c:pt idx="599">
                  <c:v>57.03</c:v>
                </c:pt>
                <c:pt idx="600">
                  <c:v>18.23</c:v>
                </c:pt>
                <c:pt idx="601">
                  <c:v>62.87</c:v>
                </c:pt>
                <c:pt idx="602">
                  <c:v>25.27</c:v>
                </c:pt>
                <c:pt idx="603">
                  <c:v>68.069999999999993</c:v>
                </c:pt>
                <c:pt idx="604">
                  <c:v>25.97</c:v>
                </c:pt>
                <c:pt idx="605">
                  <c:v>75.319999999999993</c:v>
                </c:pt>
                <c:pt idx="606">
                  <c:v>60.02</c:v>
                </c:pt>
                <c:pt idx="607">
                  <c:v>11.24</c:v>
                </c:pt>
                <c:pt idx="608">
                  <c:v>45.44</c:v>
                </c:pt>
                <c:pt idx="609">
                  <c:v>76.48</c:v>
                </c:pt>
                <c:pt idx="610">
                  <c:v>43.02</c:v>
                </c:pt>
                <c:pt idx="611">
                  <c:v>65.88</c:v>
                </c:pt>
                <c:pt idx="612">
                  <c:v>26.97</c:v>
                </c:pt>
                <c:pt idx="613">
                  <c:v>6.84</c:v>
                </c:pt>
                <c:pt idx="614">
                  <c:v>73.27</c:v>
                </c:pt>
                <c:pt idx="615">
                  <c:v>68.83</c:v>
                </c:pt>
                <c:pt idx="616">
                  <c:v>33.36</c:v>
                </c:pt>
                <c:pt idx="617">
                  <c:v>45.5</c:v>
                </c:pt>
                <c:pt idx="618">
                  <c:v>45.7</c:v>
                </c:pt>
                <c:pt idx="619">
                  <c:v>65.45</c:v>
                </c:pt>
                <c:pt idx="620">
                  <c:v>23.67</c:v>
                </c:pt>
                <c:pt idx="621">
                  <c:v>63.12</c:v>
                </c:pt>
                <c:pt idx="622">
                  <c:v>28.34</c:v>
                </c:pt>
                <c:pt idx="623">
                  <c:v>63</c:v>
                </c:pt>
                <c:pt idx="624">
                  <c:v>49.25</c:v>
                </c:pt>
                <c:pt idx="625">
                  <c:v>17.13</c:v>
                </c:pt>
                <c:pt idx="626">
                  <c:v>17.93</c:v>
                </c:pt>
                <c:pt idx="627">
                  <c:v>32.159999999999997</c:v>
                </c:pt>
                <c:pt idx="628">
                  <c:v>15.2</c:v>
                </c:pt>
                <c:pt idx="629">
                  <c:v>15.58</c:v>
                </c:pt>
                <c:pt idx="630">
                  <c:v>30.34</c:v>
                </c:pt>
                <c:pt idx="631">
                  <c:v>61.84</c:v>
                </c:pt>
                <c:pt idx="632">
                  <c:v>42.57</c:v>
                </c:pt>
                <c:pt idx="633">
                  <c:v>15.41</c:v>
                </c:pt>
                <c:pt idx="634">
                  <c:v>55.68</c:v>
                </c:pt>
                <c:pt idx="635">
                  <c:v>30.35</c:v>
                </c:pt>
                <c:pt idx="636">
                  <c:v>47.05</c:v>
                </c:pt>
                <c:pt idx="637">
                  <c:v>29.69</c:v>
                </c:pt>
                <c:pt idx="638">
                  <c:v>65.69</c:v>
                </c:pt>
                <c:pt idx="639">
                  <c:v>39.770000000000003</c:v>
                </c:pt>
                <c:pt idx="640">
                  <c:v>62.28</c:v>
                </c:pt>
                <c:pt idx="641">
                  <c:v>41.83</c:v>
                </c:pt>
                <c:pt idx="642">
                  <c:v>58.43</c:v>
                </c:pt>
                <c:pt idx="643">
                  <c:v>77.400000000000006</c:v>
                </c:pt>
                <c:pt idx="644">
                  <c:v>37.78</c:v>
                </c:pt>
                <c:pt idx="645">
                  <c:v>37</c:v>
                </c:pt>
                <c:pt idx="646">
                  <c:v>43.23</c:v>
                </c:pt>
                <c:pt idx="647">
                  <c:v>53.05</c:v>
                </c:pt>
                <c:pt idx="648">
                  <c:v>63.15</c:v>
                </c:pt>
                <c:pt idx="649">
                  <c:v>35.770000000000003</c:v>
                </c:pt>
                <c:pt idx="650">
                  <c:v>34.42</c:v>
                </c:pt>
                <c:pt idx="651">
                  <c:v>67.17</c:v>
                </c:pt>
                <c:pt idx="652">
                  <c:v>43</c:v>
                </c:pt>
                <c:pt idx="653">
                  <c:v>39.909999999999997</c:v>
                </c:pt>
                <c:pt idx="654">
                  <c:v>31.48</c:v>
                </c:pt>
                <c:pt idx="655">
                  <c:v>35.700000000000003</c:v>
                </c:pt>
                <c:pt idx="656">
                  <c:v>11.15</c:v>
                </c:pt>
                <c:pt idx="657">
                  <c:v>15.65</c:v>
                </c:pt>
                <c:pt idx="658">
                  <c:v>22.2</c:v>
                </c:pt>
                <c:pt idx="659">
                  <c:v>39.18</c:v>
                </c:pt>
                <c:pt idx="660">
                  <c:v>59.95</c:v>
                </c:pt>
                <c:pt idx="661">
                  <c:v>52.48</c:v>
                </c:pt>
                <c:pt idx="662">
                  <c:v>41.85</c:v>
                </c:pt>
                <c:pt idx="663">
                  <c:v>67.069999999999993</c:v>
                </c:pt>
                <c:pt idx="664">
                  <c:v>18</c:v>
                </c:pt>
                <c:pt idx="665">
                  <c:v>68.61</c:v>
                </c:pt>
                <c:pt idx="666">
                  <c:v>71.040000000000006</c:v>
                </c:pt>
                <c:pt idx="667">
                  <c:v>21.92</c:v>
                </c:pt>
                <c:pt idx="668">
                  <c:v>43.41</c:v>
                </c:pt>
                <c:pt idx="669">
                  <c:v>38.89</c:v>
                </c:pt>
                <c:pt idx="670">
                  <c:v>29.29</c:v>
                </c:pt>
                <c:pt idx="671">
                  <c:v>23.01</c:v>
                </c:pt>
                <c:pt idx="672">
                  <c:v>60.69</c:v>
                </c:pt>
                <c:pt idx="673">
                  <c:v>39.380000000000003</c:v>
                </c:pt>
                <c:pt idx="674">
                  <c:v>58.22</c:v>
                </c:pt>
                <c:pt idx="675">
                  <c:v>49.14</c:v>
                </c:pt>
                <c:pt idx="676">
                  <c:v>35.549999999999997</c:v>
                </c:pt>
                <c:pt idx="677">
                  <c:v>12.11</c:v>
                </c:pt>
                <c:pt idx="678">
                  <c:v>30.38</c:v>
                </c:pt>
                <c:pt idx="679">
                  <c:v>9.94</c:v>
                </c:pt>
                <c:pt idx="680">
                  <c:v>35.020000000000003</c:v>
                </c:pt>
                <c:pt idx="681">
                  <c:v>73.47</c:v>
                </c:pt>
                <c:pt idx="682">
                  <c:v>56.6</c:v>
                </c:pt>
                <c:pt idx="683">
                  <c:v>51.19</c:v>
                </c:pt>
                <c:pt idx="684">
                  <c:v>28.68</c:v>
                </c:pt>
                <c:pt idx="685">
                  <c:v>32.630000000000003</c:v>
                </c:pt>
                <c:pt idx="686">
                  <c:v>62.15</c:v>
                </c:pt>
                <c:pt idx="687">
                  <c:v>12.09</c:v>
                </c:pt>
                <c:pt idx="688">
                  <c:v>26.39</c:v>
                </c:pt>
                <c:pt idx="689">
                  <c:v>56.89</c:v>
                </c:pt>
                <c:pt idx="690">
                  <c:v>34.03</c:v>
                </c:pt>
                <c:pt idx="691">
                  <c:v>23.31</c:v>
                </c:pt>
                <c:pt idx="692">
                  <c:v>9.5399999999999991</c:v>
                </c:pt>
                <c:pt idx="693">
                  <c:v>43.24</c:v>
                </c:pt>
                <c:pt idx="694">
                  <c:v>9.7200000000000006</c:v>
                </c:pt>
                <c:pt idx="695">
                  <c:v>36.9</c:v>
                </c:pt>
                <c:pt idx="696">
                  <c:v>11.82</c:v>
                </c:pt>
                <c:pt idx="697">
                  <c:v>47.82</c:v>
                </c:pt>
                <c:pt idx="698">
                  <c:v>54.34</c:v>
                </c:pt>
                <c:pt idx="699">
                  <c:v>20.28</c:v>
                </c:pt>
                <c:pt idx="700">
                  <c:v>21.37</c:v>
                </c:pt>
                <c:pt idx="701">
                  <c:v>8.42</c:v>
                </c:pt>
                <c:pt idx="702">
                  <c:v>54.67</c:v>
                </c:pt>
                <c:pt idx="703">
                  <c:v>55.73</c:v>
                </c:pt>
                <c:pt idx="704">
                  <c:v>21.22</c:v>
                </c:pt>
                <c:pt idx="705">
                  <c:v>30.55</c:v>
                </c:pt>
                <c:pt idx="706">
                  <c:v>21.96</c:v>
                </c:pt>
                <c:pt idx="707">
                  <c:v>37.74</c:v>
                </c:pt>
                <c:pt idx="708">
                  <c:v>70.319999999999993</c:v>
                </c:pt>
                <c:pt idx="709">
                  <c:v>31.39</c:v>
                </c:pt>
                <c:pt idx="710">
                  <c:v>41.23</c:v>
                </c:pt>
                <c:pt idx="711">
                  <c:v>38.450000000000003</c:v>
                </c:pt>
                <c:pt idx="712">
                  <c:v>24.54</c:v>
                </c:pt>
                <c:pt idx="713">
                  <c:v>57.83</c:v>
                </c:pt>
                <c:pt idx="714">
                  <c:v>68.94</c:v>
                </c:pt>
                <c:pt idx="715">
                  <c:v>43.06</c:v>
                </c:pt>
                <c:pt idx="716">
                  <c:v>58.95</c:v>
                </c:pt>
                <c:pt idx="717">
                  <c:v>16.13</c:v>
                </c:pt>
                <c:pt idx="718">
                  <c:v>38.01</c:v>
                </c:pt>
                <c:pt idx="719">
                  <c:v>8.1999999999999993</c:v>
                </c:pt>
                <c:pt idx="720">
                  <c:v>36.85</c:v>
                </c:pt>
                <c:pt idx="721">
                  <c:v>36.950000000000003</c:v>
                </c:pt>
                <c:pt idx="722">
                  <c:v>5.1100000000000003</c:v>
                </c:pt>
                <c:pt idx="723">
                  <c:v>17.850000000000001</c:v>
                </c:pt>
                <c:pt idx="724">
                  <c:v>35.6</c:v>
                </c:pt>
                <c:pt idx="725">
                  <c:v>25.09</c:v>
                </c:pt>
                <c:pt idx="726">
                  <c:v>70.44</c:v>
                </c:pt>
                <c:pt idx="727">
                  <c:v>8.39</c:v>
                </c:pt>
                <c:pt idx="728">
                  <c:v>19.45</c:v>
                </c:pt>
                <c:pt idx="729">
                  <c:v>31.35</c:v>
                </c:pt>
                <c:pt idx="730">
                  <c:v>57.62</c:v>
                </c:pt>
                <c:pt idx="731">
                  <c:v>79.099999999999994</c:v>
                </c:pt>
                <c:pt idx="732">
                  <c:v>74.95</c:v>
                </c:pt>
                <c:pt idx="733">
                  <c:v>78.040000000000006</c:v>
                </c:pt>
                <c:pt idx="734">
                  <c:v>70.31</c:v>
                </c:pt>
                <c:pt idx="735">
                  <c:v>56.68</c:v>
                </c:pt>
                <c:pt idx="736">
                  <c:v>28.39</c:v>
                </c:pt>
                <c:pt idx="737">
                  <c:v>6.71</c:v>
                </c:pt>
                <c:pt idx="738">
                  <c:v>35.81</c:v>
                </c:pt>
                <c:pt idx="739">
                  <c:v>52.51</c:v>
                </c:pt>
                <c:pt idx="740">
                  <c:v>35.56</c:v>
                </c:pt>
                <c:pt idx="741">
                  <c:v>32.36</c:v>
                </c:pt>
                <c:pt idx="742">
                  <c:v>74.72</c:v>
                </c:pt>
                <c:pt idx="743">
                  <c:v>32.979999999999997</c:v>
                </c:pt>
                <c:pt idx="744">
                  <c:v>37.9</c:v>
                </c:pt>
                <c:pt idx="745">
                  <c:v>61.24</c:v>
                </c:pt>
                <c:pt idx="746">
                  <c:v>74.069999999999993</c:v>
                </c:pt>
                <c:pt idx="747">
                  <c:v>31.94</c:v>
                </c:pt>
                <c:pt idx="748">
                  <c:v>32.01</c:v>
                </c:pt>
                <c:pt idx="749">
                  <c:v>9.51</c:v>
                </c:pt>
                <c:pt idx="750">
                  <c:v>26.51</c:v>
                </c:pt>
                <c:pt idx="751">
                  <c:v>78.510000000000005</c:v>
                </c:pt>
                <c:pt idx="752">
                  <c:v>9.66</c:v>
                </c:pt>
                <c:pt idx="753">
                  <c:v>39.340000000000003</c:v>
                </c:pt>
                <c:pt idx="754">
                  <c:v>34.17</c:v>
                </c:pt>
                <c:pt idx="755">
                  <c:v>8.35</c:v>
                </c:pt>
                <c:pt idx="756">
                  <c:v>64.349999999999994</c:v>
                </c:pt>
                <c:pt idx="757">
                  <c:v>52.29</c:v>
                </c:pt>
                <c:pt idx="758">
                  <c:v>48.56</c:v>
                </c:pt>
                <c:pt idx="759">
                  <c:v>41.2</c:v>
                </c:pt>
                <c:pt idx="760">
                  <c:v>5.34</c:v>
                </c:pt>
                <c:pt idx="761">
                  <c:v>58.23</c:v>
                </c:pt>
              </c:numCache>
            </c:numRef>
          </c:yVal>
          <c:smooth val="0"/>
          <c:extLst>
            <c:ext xmlns:c16="http://schemas.microsoft.com/office/drawing/2014/chart" uri="{C3380CC4-5D6E-409C-BE32-E72D297353CC}">
              <c16:uniqueId val="{00000001-CAAD-4A52-B283-15818E6460FD}"/>
            </c:ext>
          </c:extLst>
        </c:ser>
        <c:dLbls>
          <c:showLegendKey val="0"/>
          <c:showVal val="0"/>
          <c:showCatName val="0"/>
          <c:showSerName val="0"/>
          <c:showPercent val="0"/>
          <c:showBubbleSize val="0"/>
        </c:dLbls>
        <c:axId val="1931378991"/>
        <c:axId val="1949013135"/>
      </c:scatterChart>
      <c:valAx>
        <c:axId val="193137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WEEKLY</a:t>
                </a:r>
                <a:r>
                  <a:rPr lang="en-US" b="1" baseline="0">
                    <a:solidFill>
                      <a:schemeClr val="tx1"/>
                    </a:solidFill>
                  </a:rPr>
                  <a:t> ENGAGEMENT RATE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49013135"/>
        <c:crosses val="autoZero"/>
        <c:crossBetween val="midCat"/>
      </c:valAx>
      <c:valAx>
        <c:axId val="19490131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REPEAT</a:t>
                </a:r>
                <a:r>
                  <a:rPr lang="en-US" b="1" baseline="0">
                    <a:solidFill>
                      <a:schemeClr val="tx1"/>
                    </a:solidFill>
                  </a:rPr>
                  <a:t> SONG RATE (%)</a:t>
                </a:r>
                <a:endParaRPr lang="en-US"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9313789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[Global-Music_Streaming_Listener_Preferences Manali.xlsx]Q.4!PivotTable15</c:name>
    <c:fmtId val="1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TREND</a:t>
            </a:r>
            <a:r>
              <a:rPr lang="en-US" baseline="0">
                <a:solidFill>
                  <a:schemeClr val="tx1"/>
                </a:solidFill>
              </a:rPr>
              <a:t> OF AVERAGE REPEAT SONG %</a:t>
            </a:r>
            <a:endParaRPr lang="en-US">
              <a:solidFill>
                <a:schemeClr val="tx1"/>
              </a:solidFill>
            </a:endParaRPr>
          </a:p>
        </c:rich>
      </c:tx>
      <c:layout>
        <c:manualLayout>
          <c:xMode val="edge"/>
          <c:yMode val="edge"/>
          <c:x val="0.18705720728545241"/>
          <c:y val="9.065225170926488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9083333333333331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134213421342132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8382838283828381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9083333333333331E-2"/>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134213421342132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8382838283828381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9083261252555776E-2"/>
              <c:y val="-5.666742906969808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2134213421342132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1.4368275360034689E-2"/>
              <c:y val="-1.38888948488875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043890710398678E-2"/>
              <c:y val="3.26989367696111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1708124072245443E-2"/>
              <c:y val="3.269893676961110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273717527138155E-2"/>
          <c:y val="0.29698632565616484"/>
          <c:w val="0.85710326069537923"/>
          <c:h val="0.46987722466919751"/>
        </c:manualLayout>
      </c:layout>
      <c:lineChart>
        <c:grouping val="standard"/>
        <c:varyColors val="0"/>
        <c:ser>
          <c:idx val="0"/>
          <c:order val="0"/>
          <c:tx>
            <c:strRef>
              <c:f>Q.4!$B$1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44A6-4EB5-B6F5-AA9ED8FF537E}"/>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A6-4EB5-B6F5-AA9ED8FF537E}"/>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D6-4641-91A9-AC49AAC8AA53}"/>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FD6-4641-91A9-AC49AAC8AA53}"/>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44A6-4EB5-B6F5-AA9ED8FF537E}"/>
              </c:ext>
            </c:extLst>
          </c:dPt>
          <c:dLbls>
            <c:dLbl>
              <c:idx val="0"/>
              <c:layout>
                <c:manualLayout>
                  <c:x val="-3.9083261252555776E-2"/>
                  <c:y val="-5.6667429069698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A6-4EB5-B6F5-AA9ED8FF537E}"/>
                </c:ext>
              </c:extLst>
            </c:dLbl>
            <c:dLbl>
              <c:idx val="1"/>
              <c:layout>
                <c:manualLayout>
                  <c:x val="-4.2134213421342132E-2"/>
                  <c:y val="2.31481481481481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A6-4EB5-B6F5-AA9ED8FF537E}"/>
                </c:ext>
              </c:extLst>
            </c:dLbl>
            <c:dLbl>
              <c:idx val="2"/>
              <c:layout>
                <c:manualLayout>
                  <c:x val="-3.1708124072245443E-2"/>
                  <c:y val="3.26989367696111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D6-4641-91A9-AC49AAC8AA53}"/>
                </c:ext>
              </c:extLst>
            </c:dLbl>
            <c:dLbl>
              <c:idx val="3"/>
              <c:layout>
                <c:manualLayout>
                  <c:x val="-3.4043890710398678E-2"/>
                  <c:y val="3.26989367696111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D6-4641-91A9-AC49AAC8AA53}"/>
                </c:ext>
              </c:extLst>
            </c:dLbl>
            <c:dLbl>
              <c:idx val="4"/>
              <c:layout>
                <c:manualLayout>
                  <c:x val="-1.4368275360034689E-2"/>
                  <c:y val="-1.3888894848887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A6-4EB5-B6F5-AA9ED8FF537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Q.4!$A$2:$A$7</c:f>
              <c:strCache>
                <c:ptCount val="5"/>
                <c:pt idx="0">
                  <c:v>1-100</c:v>
                </c:pt>
                <c:pt idx="1">
                  <c:v>101-200</c:v>
                </c:pt>
                <c:pt idx="2">
                  <c:v>201-300</c:v>
                </c:pt>
                <c:pt idx="3">
                  <c:v>301-400</c:v>
                </c:pt>
                <c:pt idx="4">
                  <c:v>401-500</c:v>
                </c:pt>
              </c:strCache>
            </c:strRef>
          </c:cat>
          <c:val>
            <c:numRef>
              <c:f>Q.4!$B$2:$B$7</c:f>
              <c:numCache>
                <c:formatCode>0</c:formatCode>
                <c:ptCount val="5"/>
                <c:pt idx="0">
                  <c:v>45.899860139860117</c:v>
                </c:pt>
                <c:pt idx="1">
                  <c:v>42.439999999999969</c:v>
                </c:pt>
                <c:pt idx="2">
                  <c:v>42.771776315789474</c:v>
                </c:pt>
                <c:pt idx="3">
                  <c:v>41.905771812080523</c:v>
                </c:pt>
                <c:pt idx="4">
                  <c:v>39.496050955414027</c:v>
                </c:pt>
              </c:numCache>
            </c:numRef>
          </c:val>
          <c:smooth val="0"/>
          <c:extLst>
            <c:ext xmlns:c16="http://schemas.microsoft.com/office/drawing/2014/chart" uri="{C3380CC4-5D6E-409C-BE32-E72D297353CC}">
              <c16:uniqueId val="{00000003-44A6-4EB5-B6F5-AA9ED8FF537E}"/>
            </c:ext>
          </c:extLst>
        </c:ser>
        <c:dLbls>
          <c:dLblPos val="ctr"/>
          <c:showLegendKey val="0"/>
          <c:showVal val="1"/>
          <c:showCatName val="0"/>
          <c:showSerName val="0"/>
          <c:showPercent val="0"/>
          <c:showBubbleSize val="0"/>
        </c:dLbls>
        <c:marker val="1"/>
        <c:smooth val="0"/>
        <c:axId val="929168431"/>
        <c:axId val="813406287"/>
      </c:lineChart>
      <c:catAx>
        <c:axId val="9291684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13406287"/>
        <c:crosses val="autoZero"/>
        <c:auto val="1"/>
        <c:lblAlgn val="ctr"/>
        <c:lblOffset val="100"/>
        <c:noMultiLvlLbl val="0"/>
      </c:catAx>
      <c:valAx>
        <c:axId val="813406287"/>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2916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tx1"/>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chartData>
  <cx:chart>
    <cx:title pos="t" align="ctr" overlay="0">
      <cx:tx>
        <cx:txData>
          <cx:v>SONGS PLAYED FOR EACH ARTIST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SONGS PLAYED FOR EACH ARTIST</a:t>
          </a:r>
        </a:p>
      </cx:txPr>
    </cx:title>
    <cx:plotArea>
      <cx:plotAreaRegion>
        <cx:series layoutId="boxWhisker" uniqueId="{00000000-B081-4329-8A78-42E09A741C23}">
          <cx:tx>
            <cx:txData>
              <cx:f>_xlchart.v1.0</cx:f>
              <cx:v>Billie Eilish</cx:v>
            </cx:txData>
          </cx:tx>
          <cx:dataLabels>
            <cx:visibility seriesName="0" categoryName="0" value="1"/>
          </cx:dataLabels>
          <cx:dataId val="0"/>
          <cx:layoutPr>
            <cx:visibility meanLine="0" meanMarker="1" nonoutliers="0" outliers="1"/>
            <cx:statistics quartileMethod="exclusive"/>
          </cx:layoutPr>
        </cx:series>
        <cx:series layoutId="boxWhisker" uniqueId="{00000001-B081-4329-8A78-42E09A741C23}">
          <cx:tx>
            <cx:txData>
              <cx:f>_xlchart.v1.2</cx:f>
              <cx:v>Taylor Swift</cx:v>
            </cx:txData>
          </cx:tx>
          <cx:dataLabels>
            <cx:visibility seriesName="0" categoryName="0" value="1"/>
          </cx:dataLabels>
          <cx:dataId val="1"/>
          <cx:layoutPr>
            <cx:visibility meanLine="0" meanMarker="1" nonoutliers="0" outliers="1"/>
            <cx:statistics quartileMethod="exclusive"/>
          </cx:layoutPr>
        </cx:series>
        <cx:series layoutId="boxWhisker" uniqueId="{00000002-B081-4329-8A78-42E09A741C23}">
          <cx:tx>
            <cx:txData>
              <cx:f>_xlchart.v1.4</cx:f>
              <cx:v>Ed Sheeran</cx:v>
            </cx:txData>
          </cx:tx>
          <cx:dataLabels>
            <cx:visibility seriesName="0" categoryName="0" value="1"/>
          </cx:dataLabels>
          <cx:dataId val="2"/>
          <cx:layoutPr>
            <cx:visibility meanLine="0" meanMarker="1" nonoutliers="0" outliers="1"/>
            <cx:statistics quartileMethod="exclusive"/>
          </cx:layoutPr>
        </cx:series>
        <cx:series layoutId="boxWhisker" uniqueId="{00000003-B081-4329-8A78-42E09A741C23}">
          <cx:tx>
            <cx:txData>
              <cx:f>_xlchart.v1.6</cx:f>
              <cx:v>BTS</cx:v>
            </cx:txData>
          </cx:tx>
          <cx:dataLabels>
            <cx:visibility seriesName="0" categoryName="0" value="1"/>
          </cx:dataLabels>
          <cx:dataId val="3"/>
          <cx:layoutPr>
            <cx:visibility meanLine="0" meanMarker="1" nonoutliers="0" outliers="1"/>
            <cx:statistics quartileMethod="exclusive"/>
          </cx:layoutPr>
        </cx:series>
        <cx:series layoutId="boxWhisker" uniqueId="{00000004-B081-4329-8A78-42E09A741C23}">
          <cx:tx>
            <cx:txData>
              <cx:f>_xlchart.v1.8</cx:f>
              <cx:v>Bad Bunny</cx:v>
            </cx:txData>
          </cx:tx>
          <cx:dataLabels>
            <cx:visibility seriesName="0" categoryName="0" value="1"/>
          </cx:dataLabels>
          <cx:dataId val="4"/>
          <cx:layoutPr>
            <cx:visibility meanLine="0" meanMarker="1" nonoutliers="0" outliers="1"/>
            <cx:statistics quartileMethod="exclusive"/>
          </cx:layoutPr>
        </cx:series>
      </cx:plotAreaRegion>
      <cx:axis id="0">
        <cx:catScaling gapWidth="1.5"/>
        <cx:tickLabels/>
      </cx:axis>
      <cx:axis id="1">
        <cx:valScaling/>
        <cx:tickLabels/>
      </cx:axis>
    </cx:plotArea>
    <cx:legend pos="b" align="ctr" overlay="0"/>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data id="1">
      <cx:numDim type="val">
        <cx:f>_xlchart.v1.13</cx:f>
      </cx:numDim>
    </cx:data>
    <cx:data id="2">
      <cx:numDim type="val">
        <cx:f>_xlchart.v1.15</cx:f>
      </cx:numDim>
    </cx:data>
    <cx:data id="3">
      <cx:numDim type="val">
        <cx:f>_xlchart.v1.17</cx:f>
      </cx:numDim>
    </cx:data>
    <cx:data id="4">
      <cx:numDim type="val">
        <cx:f>_xlchart.v1.19</cx:f>
      </cx:numDim>
    </cx:data>
  </cx:chartData>
  <cx:chart>
    <cx:title pos="t" align="ctr" overlay="0">
      <cx:tx>
        <cx:txData>
          <cx:v>SONGS PLAYED FOR EACH ARTIST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SONGS PLAYED FOR EACH ARTIST</a:t>
          </a:r>
        </a:p>
      </cx:txPr>
    </cx:title>
    <cx:plotArea>
      <cx:plotAreaRegion>
        <cx:series layoutId="boxWhisker" uniqueId="{00000000-7E2A-4E34-B9CD-8F1126F8A1C6}">
          <cx:tx>
            <cx:txData>
              <cx:f>_xlchart.v1.10</cx:f>
              <cx:v>Billie Eilish</cx:v>
            </cx:txData>
          </cx:tx>
          <cx:dataLabels>
            <cx:visibility seriesName="0" categoryName="0" value="1"/>
          </cx:dataLabels>
          <cx:dataId val="0"/>
          <cx:layoutPr>
            <cx:visibility meanLine="0" meanMarker="1" nonoutliers="0" outliers="1"/>
            <cx:statistics quartileMethod="exclusive"/>
          </cx:layoutPr>
        </cx:series>
        <cx:series layoutId="boxWhisker" uniqueId="{00000001-7E2A-4E34-B9CD-8F1126F8A1C6}">
          <cx:tx>
            <cx:txData>
              <cx:f>_xlchart.v1.12</cx:f>
              <cx:v>Taylor Swift</cx:v>
            </cx:txData>
          </cx:tx>
          <cx:dataLabels>
            <cx:visibility seriesName="0" categoryName="0" value="1"/>
          </cx:dataLabels>
          <cx:dataId val="1"/>
          <cx:layoutPr>
            <cx:visibility meanLine="0" meanMarker="1" nonoutliers="0" outliers="1"/>
            <cx:statistics quartileMethod="exclusive"/>
          </cx:layoutPr>
        </cx:series>
        <cx:series layoutId="boxWhisker" uniqueId="{00000002-7E2A-4E34-B9CD-8F1126F8A1C6}">
          <cx:tx>
            <cx:txData>
              <cx:f>_xlchart.v1.14</cx:f>
              <cx:v>Ed Sheeran</cx:v>
            </cx:txData>
          </cx:tx>
          <cx:dataLabels>
            <cx:visibility seriesName="0" categoryName="0" value="1"/>
          </cx:dataLabels>
          <cx:dataId val="2"/>
          <cx:layoutPr>
            <cx:visibility meanLine="0" meanMarker="1" nonoutliers="0" outliers="1"/>
            <cx:statistics quartileMethod="exclusive"/>
          </cx:layoutPr>
        </cx:series>
        <cx:series layoutId="boxWhisker" uniqueId="{00000003-7E2A-4E34-B9CD-8F1126F8A1C6}">
          <cx:tx>
            <cx:txData>
              <cx:f>_xlchart.v1.16</cx:f>
              <cx:v>BTS</cx:v>
            </cx:txData>
          </cx:tx>
          <cx:dataLabels>
            <cx:visibility seriesName="0" categoryName="0" value="1"/>
          </cx:dataLabels>
          <cx:dataId val="3"/>
          <cx:layoutPr>
            <cx:visibility meanLine="0" meanMarker="1" nonoutliers="0" outliers="1"/>
            <cx:statistics quartileMethod="exclusive"/>
          </cx:layoutPr>
        </cx:series>
        <cx:series layoutId="boxWhisker" uniqueId="{00000004-7E2A-4E34-B9CD-8F1126F8A1C6}">
          <cx:tx>
            <cx:txData>
              <cx:f>_xlchart.v1.18</cx:f>
              <cx:v>Bad Bunny</cx:v>
            </cx:txData>
          </cx:tx>
          <cx:dataLabels>
            <cx:visibility seriesName="0" categoryName="0" value="1"/>
          </cx:dataLabels>
          <cx:dataId val="4"/>
          <cx:layoutPr>
            <cx:visibility meanLine="0" meanMarker="1" nonoutliers="0" outliers="1"/>
            <cx:statistics quartileMethod="exclusive"/>
          </cx:layoutPr>
        </cx:series>
      </cx:plotAreaRegion>
      <cx:axis id="0">
        <cx:catScaling gapWidth="1.5"/>
        <cx:tickLabels/>
      </cx:axis>
      <cx:axis id="1">
        <cx:valScaling/>
        <cx:majorGridlines/>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axis>
    </cx:plotArea>
    <cx:legend pos="b" align="ctr" overlay="0"/>
  </cx:chart>
  <cx:spPr>
    <a:solidFill>
      <a:schemeClr val="bg1"/>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data id="1">
      <cx:numDim type="val">
        <cx:f>_xlchart.v1.23</cx:f>
      </cx:numDim>
    </cx:data>
    <cx:data id="2">
      <cx:numDim type="val">
        <cx:f>_xlchart.v1.25</cx:f>
      </cx:numDim>
    </cx:data>
    <cx:data id="3">
      <cx:numDim type="val">
        <cx:f>_xlchart.v1.27</cx:f>
      </cx:numDim>
    </cx:data>
    <cx:data id="4">
      <cx:numDim type="val">
        <cx:f>_xlchart.v1.29</cx:f>
      </cx:numDim>
    </cx:data>
  </cx:chartData>
  <cx:chart>
    <cx:title pos="t" align="ctr" overlay="0">
      <cx:tx>
        <cx:txData>
          <cx:v>SONGS PLAYED FOR EACH ARTIST</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SONGS PLAYED FOR EACH ARTIST</a:t>
          </a:r>
        </a:p>
      </cx:txPr>
    </cx:title>
    <cx:plotArea>
      <cx:plotAreaRegion>
        <cx:series layoutId="boxWhisker" uniqueId="{00000000-7E2A-4E34-B9CD-8F1126F8A1C6}">
          <cx:tx>
            <cx:txData>
              <cx:f>_xlchart.v1.20</cx:f>
              <cx:v>Billie Eilish</cx:v>
            </cx:txData>
          </cx:tx>
          <cx:dataId val="0"/>
          <cx:layoutPr>
            <cx:visibility meanLine="0" meanMarker="1" nonoutliers="0" outliers="1"/>
            <cx:statistics quartileMethod="exclusive"/>
          </cx:layoutPr>
        </cx:series>
        <cx:series layoutId="boxWhisker" uniqueId="{00000001-7E2A-4E34-B9CD-8F1126F8A1C6}">
          <cx:tx>
            <cx:txData>
              <cx:f>_xlchart.v1.22</cx:f>
              <cx:v>Taylor Swift</cx:v>
            </cx:txData>
          </cx:tx>
          <cx:dataId val="1"/>
          <cx:layoutPr>
            <cx:visibility meanLine="0" meanMarker="1" nonoutliers="0" outliers="1"/>
            <cx:statistics quartileMethod="exclusive"/>
          </cx:layoutPr>
        </cx:series>
        <cx:series layoutId="boxWhisker" uniqueId="{00000002-7E2A-4E34-B9CD-8F1126F8A1C6}">
          <cx:tx>
            <cx:txData>
              <cx:f>_xlchart.v1.24</cx:f>
              <cx:v>Ed Sheeran</cx:v>
            </cx:txData>
          </cx:tx>
          <cx:dataId val="2"/>
          <cx:layoutPr>
            <cx:visibility meanLine="0" meanMarker="1" nonoutliers="0" outliers="1"/>
            <cx:statistics quartileMethod="exclusive"/>
          </cx:layoutPr>
        </cx:series>
        <cx:series layoutId="boxWhisker" uniqueId="{00000003-7E2A-4E34-B9CD-8F1126F8A1C6}">
          <cx:tx>
            <cx:txData>
              <cx:f>_xlchart.v1.26</cx:f>
              <cx:v>BTS</cx:v>
            </cx:txData>
          </cx:tx>
          <cx:dataId val="3"/>
          <cx:layoutPr>
            <cx:visibility meanLine="0" meanMarker="1" nonoutliers="0" outliers="1"/>
            <cx:statistics quartileMethod="exclusive"/>
          </cx:layoutPr>
        </cx:series>
        <cx:series layoutId="boxWhisker" uniqueId="{00000004-7E2A-4E34-B9CD-8F1126F8A1C6}">
          <cx:tx>
            <cx:txData>
              <cx:f>_xlchart.v1.28</cx:f>
              <cx:v>Bad Bunny</cx:v>
            </cx:txData>
          </cx:tx>
          <cx:dataId val="4"/>
          <cx:layoutPr>
            <cx:visibility meanLine="0" meanMarker="1" nonoutliers="0" outliers="1"/>
            <cx:statistics quartileMethod="exclusive"/>
          </cx:layoutPr>
        </cx:series>
      </cx:plotAreaRegion>
      <cx:axis id="0">
        <cx:catScaling gapWidth="1.5"/>
        <cx:tickLabels/>
      </cx:axis>
      <cx:axis id="1">
        <cx:valScaling/>
        <cx:majorGridlines/>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axis>
    </cx:plotArea>
    <cx:legend pos="b" align="ctr" overlay="0"/>
  </cx:chart>
  <cx:spPr>
    <a:solidFill>
      <a:schemeClr val="bg1"/>
    </a:solidFill>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microsoft.com/office/2014/relationships/chartEx" Target="../charts/chartEx3.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502920</xdr:colOff>
      <xdr:row>2</xdr:row>
      <xdr:rowOff>129540</xdr:rowOff>
    </xdr:from>
    <xdr:to>
      <xdr:col>14</xdr:col>
      <xdr:colOff>327660</xdr:colOff>
      <xdr:row>22</xdr:row>
      <xdr:rowOff>41910</xdr:rowOff>
    </xdr:to>
    <xdr:graphicFrame macro="">
      <xdr:nvGraphicFramePr>
        <xdr:cNvPr id="2" name="Chart 1">
          <a:extLst>
            <a:ext uri="{FF2B5EF4-FFF2-40B4-BE49-F238E27FC236}">
              <a16:creationId xmlns:a16="http://schemas.microsoft.com/office/drawing/2014/main" id="{A036F894-5F4E-5E5C-2DBE-CC1FF9BE5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8</xdr:row>
      <xdr:rowOff>175260</xdr:rowOff>
    </xdr:from>
    <xdr:to>
      <xdr:col>5</xdr:col>
      <xdr:colOff>716280</xdr:colOff>
      <xdr:row>11</xdr:row>
      <xdr:rowOff>68580</xdr:rowOff>
    </xdr:to>
    <xdr:sp macro="" textlink="">
      <xdr:nvSpPr>
        <xdr:cNvPr id="2" name="Rectangle 1">
          <a:extLst>
            <a:ext uri="{FF2B5EF4-FFF2-40B4-BE49-F238E27FC236}">
              <a16:creationId xmlns:a16="http://schemas.microsoft.com/office/drawing/2014/main" id="{94770FB0-AD3D-0EF7-FD52-7EFB30E41DDB}"/>
            </a:ext>
          </a:extLst>
        </xdr:cNvPr>
        <xdr:cNvSpPr/>
      </xdr:nvSpPr>
      <xdr:spPr>
        <a:xfrm>
          <a:off x="5615940" y="1638300"/>
          <a:ext cx="2225040" cy="441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50" b="1">
              <a:solidFill>
                <a:srgbClr val="FF0000"/>
              </a:solidFill>
            </a:rPr>
            <a:t>PUBLIC PREFERRED BAD BUNNY'S PLAYLIST FOR ENTERTAINMENT</a:t>
          </a:r>
        </a:p>
      </xdr:txBody>
    </xdr:sp>
    <xdr:clientData/>
  </xdr:twoCellAnchor>
  <xdr:twoCellAnchor>
    <xdr:from>
      <xdr:col>2</xdr:col>
      <xdr:colOff>1196340</xdr:colOff>
      <xdr:row>8</xdr:row>
      <xdr:rowOff>102870</xdr:rowOff>
    </xdr:from>
    <xdr:to>
      <xdr:col>5</xdr:col>
      <xdr:colOff>815340</xdr:colOff>
      <xdr:row>25</xdr:row>
      <xdr:rowOff>91440</xdr:rowOff>
    </xdr:to>
    <xdr:graphicFrame macro="">
      <xdr:nvGraphicFramePr>
        <xdr:cNvPr id="3" name="Chart 2">
          <a:extLst>
            <a:ext uri="{FF2B5EF4-FFF2-40B4-BE49-F238E27FC236}">
              <a16:creationId xmlns:a16="http://schemas.microsoft.com/office/drawing/2014/main" id="{CEB11C9B-2827-8E2A-6B21-A8533C177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967740</xdr:colOff>
      <xdr:row>11</xdr:row>
      <xdr:rowOff>129540</xdr:rowOff>
    </xdr:from>
    <xdr:to>
      <xdr:col>5</xdr:col>
      <xdr:colOff>609600</xdr:colOff>
      <xdr:row>16</xdr:row>
      <xdr:rowOff>30480</xdr:rowOff>
    </xdr:to>
    <xdr:sp macro="" textlink="">
      <xdr:nvSpPr>
        <xdr:cNvPr id="4" name="Rectangle: Rounded Corners 3">
          <a:extLst>
            <a:ext uri="{FF2B5EF4-FFF2-40B4-BE49-F238E27FC236}">
              <a16:creationId xmlns:a16="http://schemas.microsoft.com/office/drawing/2014/main" id="{6BE58E6C-157E-E061-C8E4-DF3608A80026}"/>
            </a:ext>
          </a:extLst>
        </xdr:cNvPr>
        <xdr:cNvSpPr/>
      </xdr:nvSpPr>
      <xdr:spPr>
        <a:xfrm>
          <a:off x="6492240" y="2141220"/>
          <a:ext cx="1242060" cy="815340"/>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b="1">
              <a:solidFill>
                <a:schemeClr val="tx1"/>
              </a:solidFill>
            </a:rPr>
            <a:t>'Listeners</a:t>
          </a:r>
          <a:r>
            <a:rPr lang="en-US" sz="1100" b="1" baseline="0">
              <a:solidFill>
                <a:schemeClr val="tx1"/>
              </a:solidFill>
            </a:rPr>
            <a:t> favorite artist is "BAD BUNNY".</a:t>
          </a:r>
        </a:p>
      </xdr:txBody>
    </xdr:sp>
    <xdr:clientData/>
  </xdr:twoCellAnchor>
  <xdr:twoCellAnchor>
    <xdr:from>
      <xdr:col>2</xdr:col>
      <xdr:colOff>1295400</xdr:colOff>
      <xdr:row>21</xdr:row>
      <xdr:rowOff>137160</xdr:rowOff>
    </xdr:from>
    <xdr:to>
      <xdr:col>2</xdr:col>
      <xdr:colOff>2499360</xdr:colOff>
      <xdr:row>25</xdr:row>
      <xdr:rowOff>60960</xdr:rowOff>
    </xdr:to>
    <xdr:sp macro="" textlink="">
      <xdr:nvSpPr>
        <xdr:cNvPr id="6" name="Rectangle 5">
          <a:extLst>
            <a:ext uri="{FF2B5EF4-FFF2-40B4-BE49-F238E27FC236}">
              <a16:creationId xmlns:a16="http://schemas.microsoft.com/office/drawing/2014/main" id="{7040857E-7528-7188-B423-85042F7652C7}"/>
            </a:ext>
          </a:extLst>
        </xdr:cNvPr>
        <xdr:cNvSpPr/>
      </xdr:nvSpPr>
      <xdr:spPr>
        <a:xfrm>
          <a:off x="3154680" y="3977640"/>
          <a:ext cx="1203960" cy="655320"/>
        </a:xfrm>
        <a:prstGeom prst="rect">
          <a:avLst/>
        </a:prstGeom>
        <a:solidFill>
          <a:schemeClr val="bg2">
            <a:lumMod val="90000"/>
          </a:schemeClr>
        </a:solidFill>
        <a:ln>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solidFill>
                <a:schemeClr val="tx1">
                  <a:lumMod val="95000"/>
                  <a:lumOff val="5000"/>
                </a:schemeClr>
              </a:solidFill>
            </a:rPr>
            <a:t>"BTS</a:t>
          </a:r>
          <a:r>
            <a:rPr lang="en-US" sz="1100" b="1" baseline="0">
              <a:solidFill>
                <a:schemeClr val="tx1">
                  <a:lumMod val="95000"/>
                  <a:lumOff val="5000"/>
                </a:schemeClr>
              </a:solidFill>
            </a:rPr>
            <a:t> is less preferred by listeners.</a:t>
          </a:r>
          <a:endParaRPr lang="en-US" sz="1100" b="1">
            <a:solidFill>
              <a:schemeClr val="tx1">
                <a:lumMod val="95000"/>
                <a:lumOff val="5000"/>
              </a:schemeClr>
            </a:solidFill>
          </a:endParaRPr>
        </a:p>
      </xdr:txBody>
    </xdr:sp>
    <xdr:clientData/>
  </xdr:twoCellAnchor>
  <xdr:twoCellAnchor>
    <xdr:from>
      <xdr:col>4</xdr:col>
      <xdr:colOff>243840</xdr:colOff>
      <xdr:row>14</xdr:row>
      <xdr:rowOff>137160</xdr:rowOff>
    </xdr:from>
    <xdr:to>
      <xdr:col>4</xdr:col>
      <xdr:colOff>975360</xdr:colOff>
      <xdr:row>16</xdr:row>
      <xdr:rowOff>22860</xdr:rowOff>
    </xdr:to>
    <xdr:sp macro="" textlink="">
      <xdr:nvSpPr>
        <xdr:cNvPr id="8" name="Arrow: Left 7">
          <a:extLst>
            <a:ext uri="{FF2B5EF4-FFF2-40B4-BE49-F238E27FC236}">
              <a16:creationId xmlns:a16="http://schemas.microsoft.com/office/drawing/2014/main" id="{6F0F429E-A6EE-3207-B934-923592AA0A2D}"/>
            </a:ext>
          </a:extLst>
        </xdr:cNvPr>
        <xdr:cNvSpPr/>
      </xdr:nvSpPr>
      <xdr:spPr>
        <a:xfrm>
          <a:off x="5768340" y="2697480"/>
          <a:ext cx="731520" cy="251460"/>
        </a:xfrm>
        <a:prstGeom prst="leftArrow">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0.26989</cdr:x>
      <cdr:y>0.90898</cdr:y>
    </cdr:from>
    <cdr:to>
      <cdr:x>0.35833</cdr:x>
      <cdr:y>0.96226</cdr:y>
    </cdr:to>
    <cdr:sp macro="" textlink="">
      <cdr:nvSpPr>
        <cdr:cNvPr id="2" name="Arrow: Right 1">
          <a:extLst xmlns:a="http://schemas.openxmlformats.org/drawingml/2006/main">
            <a:ext uri="{FF2B5EF4-FFF2-40B4-BE49-F238E27FC236}">
              <a16:creationId xmlns:a16="http://schemas.microsoft.com/office/drawing/2014/main" id="{D33C82A2-78B8-49DB-2F48-211FE8117EC9}"/>
            </a:ext>
          </a:extLst>
        </cdr:cNvPr>
        <cdr:cNvSpPr/>
      </cdr:nvSpPr>
      <cdr:spPr>
        <a:xfrm xmlns:a="http://schemas.openxmlformats.org/drawingml/2006/main">
          <a:off x="1318261" y="2815594"/>
          <a:ext cx="431978" cy="165036"/>
        </a:xfrm>
        <a:prstGeom xmlns:a="http://schemas.openxmlformats.org/drawingml/2006/main" prst="rightArrow">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449580</xdr:colOff>
      <xdr:row>9</xdr:row>
      <xdr:rowOff>87630</xdr:rowOff>
    </xdr:from>
    <xdr:to>
      <xdr:col>7</xdr:col>
      <xdr:colOff>2407920</xdr:colOff>
      <xdr:row>24</xdr:row>
      <xdr:rowOff>87630</xdr:rowOff>
    </xdr:to>
    <xdr:graphicFrame macro="">
      <xdr:nvGraphicFramePr>
        <xdr:cNvPr id="2" name="Chart 1">
          <a:extLst>
            <a:ext uri="{FF2B5EF4-FFF2-40B4-BE49-F238E27FC236}">
              <a16:creationId xmlns:a16="http://schemas.microsoft.com/office/drawing/2014/main" id="{68F4B4F0-3F03-4200-A6CC-6FFC50B54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0.73323</cdr:x>
      <cdr:y>0.17639</cdr:y>
    </cdr:from>
    <cdr:to>
      <cdr:x>0.97561</cdr:x>
      <cdr:y>0.62083</cdr:y>
    </cdr:to>
    <cdr:sp macro="" textlink="">
      <cdr:nvSpPr>
        <cdr:cNvPr id="2" name="Rectangle 1">
          <a:extLst xmlns:a="http://schemas.openxmlformats.org/drawingml/2006/main">
            <a:ext uri="{FF2B5EF4-FFF2-40B4-BE49-F238E27FC236}">
              <a16:creationId xmlns:a16="http://schemas.microsoft.com/office/drawing/2014/main" id="{B41B6395-5860-B964-4936-8AFE82B12D42}"/>
            </a:ext>
          </a:extLst>
        </cdr:cNvPr>
        <cdr:cNvSpPr/>
      </cdr:nvSpPr>
      <cdr:spPr>
        <a:xfrm xmlns:a="http://schemas.openxmlformats.org/drawingml/2006/main">
          <a:off x="4006031" y="483873"/>
          <a:ext cx="1324253" cy="1219197"/>
        </a:xfrm>
        <a:prstGeom xmlns:a="http://schemas.openxmlformats.org/drawingml/2006/main" prst="rect">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b="1" kern="1200">
              <a:solidFill>
                <a:schemeClr val="tx2">
                  <a:lumMod val="90000"/>
                  <a:lumOff val="10000"/>
                </a:schemeClr>
              </a:solidFill>
            </a:rPr>
            <a:t>Morning</a:t>
          </a:r>
          <a:r>
            <a:rPr lang="en-US" b="1" kern="1200">
              <a:solidFill>
                <a:schemeClr val="tx2">
                  <a:lumMod val="75000"/>
                  <a:lumOff val="25000"/>
                </a:schemeClr>
              </a:solidFill>
            </a:rPr>
            <a:t> has highest</a:t>
          </a:r>
          <a:r>
            <a:rPr lang="en-US" b="1" kern="1200" baseline="0">
              <a:solidFill>
                <a:schemeClr val="tx2">
                  <a:lumMod val="75000"/>
                  <a:lumOff val="25000"/>
                </a:schemeClr>
              </a:solidFill>
            </a:rPr>
            <a:t> repeat songs rate for each artists,</a:t>
          </a:r>
        </a:p>
        <a:p xmlns:a="http://schemas.openxmlformats.org/drawingml/2006/main">
          <a:r>
            <a:rPr lang="en-US" b="1" kern="1200" baseline="0">
              <a:solidFill>
                <a:schemeClr val="tx2">
                  <a:lumMod val="75000"/>
                  <a:lumOff val="25000"/>
                </a:schemeClr>
              </a:solidFill>
            </a:rPr>
            <a:t>while night shows lowest repeat rate.</a:t>
          </a:r>
          <a:endParaRPr lang="en-US" b="1" kern="1200">
            <a:solidFill>
              <a:schemeClr val="tx2">
                <a:lumMod val="75000"/>
                <a:lumOff val="25000"/>
              </a:schemeClr>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601980</xdr:colOff>
      <xdr:row>7</xdr:row>
      <xdr:rowOff>41910</xdr:rowOff>
    </xdr:from>
    <xdr:to>
      <xdr:col>11</xdr:col>
      <xdr:colOff>297180</xdr:colOff>
      <xdr:row>22</xdr:row>
      <xdr:rowOff>41910</xdr:rowOff>
    </xdr:to>
    <xdr:graphicFrame macro="">
      <xdr:nvGraphicFramePr>
        <xdr:cNvPr id="4" name="Chart 3">
          <a:extLst>
            <a:ext uri="{FF2B5EF4-FFF2-40B4-BE49-F238E27FC236}">
              <a16:creationId xmlns:a16="http://schemas.microsoft.com/office/drawing/2014/main" id="{3B51D2F3-0126-6370-0D55-04A4D9C4E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0.80334</cdr:x>
      <cdr:y>0.18109</cdr:y>
    </cdr:from>
    <cdr:to>
      <cdr:x>1</cdr:x>
      <cdr:y>0.7672</cdr:y>
    </cdr:to>
    <cdr:sp macro="" textlink="">
      <cdr:nvSpPr>
        <cdr:cNvPr id="2" name="Rectangle 1">
          <a:extLst xmlns:a="http://schemas.openxmlformats.org/drawingml/2006/main">
            <a:ext uri="{FF2B5EF4-FFF2-40B4-BE49-F238E27FC236}">
              <a16:creationId xmlns:a16="http://schemas.microsoft.com/office/drawing/2014/main" id="{3032D232-6B3A-F219-961B-4F06FF41B191}"/>
            </a:ext>
          </a:extLst>
        </cdr:cNvPr>
        <cdr:cNvSpPr/>
      </cdr:nvSpPr>
      <cdr:spPr>
        <a:xfrm xmlns:a="http://schemas.openxmlformats.org/drawingml/2006/main">
          <a:off x="3672870" y="538153"/>
          <a:ext cx="899130" cy="1741801"/>
        </a:xfrm>
        <a:prstGeom xmlns:a="http://schemas.openxmlformats.org/drawingml/2006/main" prst="rect">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b="1" kern="1200">
              <a:solidFill>
                <a:schemeClr val="tx1"/>
              </a:solidFill>
            </a:rPr>
            <a:t>There is no Coreelation</a:t>
          </a:r>
          <a:r>
            <a:rPr lang="en-US" b="1" kern="1200" baseline="0">
              <a:solidFill>
                <a:schemeClr val="tx1"/>
              </a:solidFill>
            </a:rPr>
            <a:t> (-0.00) between weekly engagement &amp; songs liked.</a:t>
          </a:r>
          <a:endParaRPr lang="en-US" b="1" kern="1200">
            <a:solidFill>
              <a:schemeClr val="tx1"/>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2</xdr:col>
      <xdr:colOff>502920</xdr:colOff>
      <xdr:row>7</xdr:row>
      <xdr:rowOff>41910</xdr:rowOff>
    </xdr:from>
    <xdr:to>
      <xdr:col>8</xdr:col>
      <xdr:colOff>365760</xdr:colOff>
      <xdr:row>22</xdr:row>
      <xdr:rowOff>41910</xdr:rowOff>
    </xdr:to>
    <xdr:graphicFrame macro="">
      <xdr:nvGraphicFramePr>
        <xdr:cNvPr id="3" name="Chart 2">
          <a:extLst>
            <a:ext uri="{FF2B5EF4-FFF2-40B4-BE49-F238E27FC236}">
              <a16:creationId xmlns:a16="http://schemas.microsoft.com/office/drawing/2014/main" id="{CEEB0982-8AA7-C710-CFD5-3E1B03B6C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1310640</xdr:colOff>
      <xdr:row>11</xdr:row>
      <xdr:rowOff>83820</xdr:rowOff>
    </xdr:from>
    <xdr:to>
      <xdr:col>3</xdr:col>
      <xdr:colOff>83820</xdr:colOff>
      <xdr:row>12</xdr:row>
      <xdr:rowOff>167640</xdr:rowOff>
    </xdr:to>
    <xdr:sp macro="" textlink="">
      <xdr:nvSpPr>
        <xdr:cNvPr id="4" name="Arrow: Left 3">
          <a:extLst>
            <a:ext uri="{FF2B5EF4-FFF2-40B4-BE49-F238E27FC236}">
              <a16:creationId xmlns:a16="http://schemas.microsoft.com/office/drawing/2014/main" id="{EBB201B8-9125-B68D-E162-BAF73C9C9314}"/>
            </a:ext>
          </a:extLst>
        </xdr:cNvPr>
        <xdr:cNvSpPr/>
      </xdr:nvSpPr>
      <xdr:spPr>
        <a:xfrm>
          <a:off x="4480560" y="2095500"/>
          <a:ext cx="480060" cy="266700"/>
        </a:xfrm>
        <a:prstGeom prst="leftArrow">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0.28218</cdr:x>
      <cdr:y>0.2125</cdr:y>
    </cdr:from>
    <cdr:to>
      <cdr:x>0.9571</cdr:x>
      <cdr:y>0.40417</cdr:y>
    </cdr:to>
    <cdr:sp macro="" textlink="">
      <cdr:nvSpPr>
        <cdr:cNvPr id="2" name="Rectangle: Rounded Corners 1">
          <a:extLst xmlns:a="http://schemas.openxmlformats.org/drawingml/2006/main">
            <a:ext uri="{FF2B5EF4-FFF2-40B4-BE49-F238E27FC236}">
              <a16:creationId xmlns:a16="http://schemas.microsoft.com/office/drawing/2014/main" id="{D11E427F-FE84-B09E-1867-FB7A03140875}"/>
            </a:ext>
          </a:extLst>
        </cdr:cNvPr>
        <cdr:cNvSpPr/>
      </cdr:nvSpPr>
      <cdr:spPr>
        <a:xfrm xmlns:a="http://schemas.openxmlformats.org/drawingml/2006/main">
          <a:off x="1303020" y="582930"/>
          <a:ext cx="3116580" cy="525780"/>
        </a:xfrm>
        <a:prstGeom xmlns:a="http://schemas.openxmlformats.org/drawingml/2006/main" prst="roundRect">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200" b="1" kern="1200"/>
            <a:t>The average repeat song </a:t>
          </a:r>
          <a:r>
            <a:rPr lang="en-US" sz="1200" b="1" kern="1200" baseline="0"/>
            <a:t>higher at 46% for users with few liked songs (1-100).</a:t>
          </a:r>
          <a:endParaRPr lang="en-US" sz="1200" b="1" kern="1200"/>
        </a:p>
      </cdr:txBody>
    </cdr:sp>
  </cdr:relSizeAnchor>
  <cdr:relSizeAnchor xmlns:cdr="http://schemas.openxmlformats.org/drawingml/2006/chartDrawing">
    <cdr:from>
      <cdr:x>0.81518</cdr:x>
      <cdr:y>0.65972</cdr:y>
    </cdr:from>
    <cdr:to>
      <cdr:x>0.89439</cdr:x>
      <cdr:y>0.75972</cdr:y>
    </cdr:to>
    <cdr:sp macro="" textlink="">
      <cdr:nvSpPr>
        <cdr:cNvPr id="3" name="Arrow: Bent-Up 2">
          <a:extLst xmlns:a="http://schemas.openxmlformats.org/drawingml/2006/main">
            <a:ext uri="{FF2B5EF4-FFF2-40B4-BE49-F238E27FC236}">
              <a16:creationId xmlns:a16="http://schemas.microsoft.com/office/drawing/2014/main" id="{87ABEF14-5D88-734F-B592-695A773028B2}"/>
            </a:ext>
          </a:extLst>
        </cdr:cNvPr>
        <cdr:cNvSpPr/>
      </cdr:nvSpPr>
      <cdr:spPr>
        <a:xfrm xmlns:a="http://schemas.openxmlformats.org/drawingml/2006/main">
          <a:off x="3764280" y="1809750"/>
          <a:ext cx="365760" cy="274320"/>
        </a:xfrm>
        <a:prstGeom xmlns:a="http://schemas.openxmlformats.org/drawingml/2006/main" prst="bentUpArrow">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0.36304</cdr:x>
      <cdr:y>0.59306</cdr:y>
    </cdr:from>
    <cdr:to>
      <cdr:x>0.81518</cdr:x>
      <cdr:y>0.81806</cdr:y>
    </cdr:to>
    <cdr:sp macro="" textlink="">
      <cdr:nvSpPr>
        <cdr:cNvPr id="4" name="Rectangle: Rounded Corners 3">
          <a:extLst xmlns:a="http://schemas.openxmlformats.org/drawingml/2006/main">
            <a:ext uri="{FF2B5EF4-FFF2-40B4-BE49-F238E27FC236}">
              <a16:creationId xmlns:a16="http://schemas.microsoft.com/office/drawing/2014/main" id="{2460F20E-9A62-07D3-3A58-7C87C6CE581A}"/>
            </a:ext>
          </a:extLst>
        </cdr:cNvPr>
        <cdr:cNvSpPr/>
      </cdr:nvSpPr>
      <cdr:spPr>
        <a:xfrm xmlns:a="http://schemas.openxmlformats.org/drawingml/2006/main">
          <a:off x="1676400" y="1626870"/>
          <a:ext cx="2087880" cy="617220"/>
        </a:xfrm>
        <a:prstGeom xmlns:a="http://schemas.openxmlformats.org/drawingml/2006/main" prst="roundRect">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200" b="1" kern="1200">
              <a:solidFill>
                <a:schemeClr val="tx1"/>
              </a:solidFill>
            </a:rPr>
            <a:t>Trend</a:t>
          </a:r>
          <a:r>
            <a:rPr lang="en-US" sz="1200" b="1" kern="1200" baseline="0">
              <a:solidFill>
                <a:schemeClr val="tx1"/>
              </a:solidFill>
            </a:rPr>
            <a:t> drops at 39% as songs liked increases.</a:t>
          </a:r>
          <a:endParaRPr lang="en-US" sz="1200" b="1" kern="1200">
            <a:solidFill>
              <a:schemeClr val="tx1"/>
            </a:solidFill>
          </a:endParaRPr>
        </a:p>
      </cdr:txBody>
    </cdr:sp>
  </cdr:relSizeAnchor>
</c:userShapes>
</file>

<file path=xl/drawings/drawing10.xml><?xml version="1.0" encoding="utf-8"?>
<xdr:wsDr xmlns:xdr="http://schemas.openxmlformats.org/drawingml/2006/spreadsheetDrawing" xmlns:a="http://schemas.openxmlformats.org/drawingml/2006/main">
  <xdr:twoCellAnchor>
    <xdr:from>
      <xdr:col>12</xdr:col>
      <xdr:colOff>472440</xdr:colOff>
      <xdr:row>17</xdr:row>
      <xdr:rowOff>87630</xdr:rowOff>
    </xdr:from>
    <xdr:to>
      <xdr:col>18</xdr:col>
      <xdr:colOff>746760</xdr:colOff>
      <xdr:row>31</xdr:row>
      <xdr:rowOff>57150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C8A1CE4-184B-E6D1-B49B-32F5CE4334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30640" y="34404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411480</xdr:colOff>
      <xdr:row>20</xdr:row>
      <xdr:rowOff>99060</xdr:rowOff>
    </xdr:from>
    <xdr:to>
      <xdr:col>14</xdr:col>
      <xdr:colOff>1036320</xdr:colOff>
      <xdr:row>24</xdr:row>
      <xdr:rowOff>91440</xdr:rowOff>
    </xdr:to>
    <xdr:sp macro="" textlink="">
      <xdr:nvSpPr>
        <xdr:cNvPr id="3" name="Rectangle 2">
          <a:extLst>
            <a:ext uri="{FF2B5EF4-FFF2-40B4-BE49-F238E27FC236}">
              <a16:creationId xmlns:a16="http://schemas.microsoft.com/office/drawing/2014/main" id="{56CAF1D6-49EE-0320-2E44-E993CB3E3E95}"/>
            </a:ext>
          </a:extLst>
        </xdr:cNvPr>
        <xdr:cNvSpPr/>
      </xdr:nvSpPr>
      <xdr:spPr>
        <a:xfrm>
          <a:off x="9479280" y="4030980"/>
          <a:ext cx="1234440" cy="78486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chemeClr val="accent1">
                  <a:lumMod val="75000"/>
                </a:schemeClr>
              </a:solidFill>
            </a:rPr>
            <a:t>Except</a:t>
          </a:r>
          <a:r>
            <a:rPr lang="en-US" sz="1100" b="1" baseline="0">
              <a:solidFill>
                <a:schemeClr val="accent1">
                  <a:lumMod val="75000"/>
                </a:schemeClr>
              </a:solidFill>
            </a:rPr>
            <a:t> billie eilish, others have extreme upper outliers.</a:t>
          </a:r>
          <a:endParaRPr lang="en-US" sz="1100" b="1">
            <a:solidFill>
              <a:schemeClr val="accent1">
                <a:lumMod val="75000"/>
              </a:schemeClr>
            </a:solidFill>
          </a:endParaRPr>
        </a:p>
      </xdr:txBody>
    </xdr:sp>
    <xdr:clientData/>
  </xdr:twoCellAnchor>
  <xdr:twoCellAnchor>
    <xdr:from>
      <xdr:col>17</xdr:col>
      <xdr:colOff>632460</xdr:colOff>
      <xdr:row>20</xdr:row>
      <xdr:rowOff>160020</xdr:rowOff>
    </xdr:from>
    <xdr:to>
      <xdr:col>18</xdr:col>
      <xdr:colOff>640080</xdr:colOff>
      <xdr:row>25</xdr:row>
      <xdr:rowOff>30480</xdr:rowOff>
    </xdr:to>
    <xdr:sp macro="" textlink="">
      <xdr:nvSpPr>
        <xdr:cNvPr id="4" name="Rectangle: Rounded Corners 3">
          <a:extLst>
            <a:ext uri="{FF2B5EF4-FFF2-40B4-BE49-F238E27FC236}">
              <a16:creationId xmlns:a16="http://schemas.microsoft.com/office/drawing/2014/main" id="{D632F096-0BF4-E77A-7608-7B9A49F29034}"/>
            </a:ext>
          </a:extLst>
        </xdr:cNvPr>
        <xdr:cNvSpPr/>
      </xdr:nvSpPr>
      <xdr:spPr>
        <a:xfrm>
          <a:off x="12702540" y="4091940"/>
          <a:ext cx="693420" cy="8610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solidFill>
                <a:schemeClr val="accent3"/>
              </a:solidFill>
            </a:rPr>
            <a:t>Overall data is right skewed</a:t>
          </a:r>
        </a:p>
      </xdr:txBody>
    </xdr:sp>
    <xdr:clientData/>
  </xdr:twoCellAnchor>
  <xdr:twoCellAnchor>
    <xdr:from>
      <xdr:col>28</xdr:col>
      <xdr:colOff>99060</xdr:colOff>
      <xdr:row>11</xdr:row>
      <xdr:rowOff>95250</xdr:rowOff>
    </xdr:from>
    <xdr:to>
      <xdr:col>33</xdr:col>
      <xdr:colOff>167640</xdr:colOff>
      <xdr:row>25</xdr:row>
      <xdr:rowOff>64770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127CEF3-000A-D808-9213-28CE132DE1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659600" y="22593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670560</xdr:colOff>
      <xdr:row>12</xdr:row>
      <xdr:rowOff>30480</xdr:rowOff>
    </xdr:from>
    <xdr:to>
      <xdr:col>36</xdr:col>
      <xdr:colOff>586740</xdr:colOff>
      <xdr:row>22</xdr:row>
      <xdr:rowOff>160020</xdr:rowOff>
    </xdr:to>
    <xdr:sp macro="" textlink="">
      <xdr:nvSpPr>
        <xdr:cNvPr id="8" name="Rectangle 7">
          <a:extLst>
            <a:ext uri="{FF2B5EF4-FFF2-40B4-BE49-F238E27FC236}">
              <a16:creationId xmlns:a16="http://schemas.microsoft.com/office/drawing/2014/main" id="{FA036A72-CD51-7DBB-0727-4110E759FAEE}"/>
            </a:ext>
          </a:extLst>
        </xdr:cNvPr>
        <xdr:cNvSpPr/>
      </xdr:nvSpPr>
      <xdr:spPr>
        <a:xfrm>
          <a:off x="24734520" y="2377440"/>
          <a:ext cx="1882140" cy="211074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solidFill>
                <a:schemeClr val="tx1"/>
              </a:solidFill>
            </a:rPr>
            <a:t>Extreme high</a:t>
          </a:r>
          <a:r>
            <a:rPr lang="en-US" sz="1200" b="1" baseline="0">
              <a:solidFill>
                <a:schemeClr val="tx1"/>
              </a:solidFill>
            </a:rPr>
            <a:t> points (800+) are removed, making data cleaner and less skewed.</a:t>
          </a:r>
        </a:p>
        <a:p>
          <a:pPr algn="l"/>
          <a:r>
            <a:rPr lang="en-US" sz="1200" b="1" baseline="0">
              <a:solidFill>
                <a:schemeClr val="tx1"/>
              </a:solidFill>
            </a:rPr>
            <a:t>Taylor swift (652), Ed sheeran(721), BTS  ( 760)  extended higher as maximun values than detached outliers points.</a:t>
          </a:r>
        </a:p>
        <a:p>
          <a:pPr algn="l"/>
          <a:r>
            <a:rPr lang="en-US" sz="1200" b="1" baseline="0">
              <a:solidFill>
                <a:schemeClr val="tx1"/>
              </a:solidFill>
            </a:rPr>
            <a:t>Bad bunny is only artist who still has an outlier (737).</a:t>
          </a:r>
          <a:endParaRPr lang="en-US" sz="1200" b="1">
            <a:solidFill>
              <a:schemeClr val="tx1"/>
            </a:solidFill>
          </a:endParaRPr>
        </a:p>
      </xdr:txBody>
    </xdr:sp>
    <xdr:clientData/>
  </xdr:twoCellAnchor>
  <xdr:twoCellAnchor>
    <xdr:from>
      <xdr:col>33</xdr:col>
      <xdr:colOff>182880</xdr:colOff>
      <xdr:row>16</xdr:row>
      <xdr:rowOff>182880</xdr:rowOff>
    </xdr:from>
    <xdr:to>
      <xdr:col>33</xdr:col>
      <xdr:colOff>647700</xdr:colOff>
      <xdr:row>18</xdr:row>
      <xdr:rowOff>99060</xdr:rowOff>
    </xdr:to>
    <xdr:sp macro="" textlink="">
      <xdr:nvSpPr>
        <xdr:cNvPr id="9" name="Arrow: Left 8">
          <a:extLst>
            <a:ext uri="{FF2B5EF4-FFF2-40B4-BE49-F238E27FC236}">
              <a16:creationId xmlns:a16="http://schemas.microsoft.com/office/drawing/2014/main" id="{B3630097-FDE7-DE06-D4E9-BB94FDEDD0A9}"/>
            </a:ext>
          </a:extLst>
        </xdr:cNvPr>
        <xdr:cNvSpPr/>
      </xdr:nvSpPr>
      <xdr:spPr>
        <a:xfrm>
          <a:off x="24246840" y="3322320"/>
          <a:ext cx="464820" cy="312420"/>
        </a:xfrm>
        <a:prstGeom prst="leftArrow">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21</xdr:col>
      <xdr:colOff>231494</xdr:colOff>
      <xdr:row>6</xdr:row>
      <xdr:rowOff>81534</xdr:rowOff>
    </xdr:from>
    <xdr:to>
      <xdr:col>29</xdr:col>
      <xdr:colOff>289368</xdr:colOff>
      <xdr:row>22</xdr:row>
      <xdr:rowOff>38582</xdr:rowOff>
    </xdr:to>
    <xdr:graphicFrame macro="">
      <xdr:nvGraphicFramePr>
        <xdr:cNvPr id="2" name="Chart 1">
          <a:extLst>
            <a:ext uri="{FF2B5EF4-FFF2-40B4-BE49-F238E27FC236}">
              <a16:creationId xmlns:a16="http://schemas.microsoft.com/office/drawing/2014/main" id="{77B098BD-8067-4511-9B8B-905174813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171979</xdr:colOff>
      <xdr:row>22</xdr:row>
      <xdr:rowOff>62737</xdr:rowOff>
    </xdr:from>
    <xdr:to>
      <xdr:col>29</xdr:col>
      <xdr:colOff>299014</xdr:colOff>
      <xdr:row>36</xdr:row>
      <xdr:rowOff>19291</xdr:rowOff>
    </xdr:to>
    <xdr:graphicFrame macro="">
      <xdr:nvGraphicFramePr>
        <xdr:cNvPr id="3" name="Chart 2">
          <a:extLst>
            <a:ext uri="{FF2B5EF4-FFF2-40B4-BE49-F238E27FC236}">
              <a16:creationId xmlns:a16="http://schemas.microsoft.com/office/drawing/2014/main" id="{56EAAA40-F1F0-4ADD-92FB-1A61BC5AE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9647</xdr:colOff>
      <xdr:row>6</xdr:row>
      <xdr:rowOff>106102</xdr:rowOff>
    </xdr:from>
    <xdr:to>
      <xdr:col>21</xdr:col>
      <xdr:colOff>212204</xdr:colOff>
      <xdr:row>22</xdr:row>
      <xdr:rowOff>19291</xdr:rowOff>
    </xdr:to>
    <xdr:graphicFrame macro="">
      <xdr:nvGraphicFramePr>
        <xdr:cNvPr id="4" name="Chart 3">
          <a:extLst>
            <a:ext uri="{FF2B5EF4-FFF2-40B4-BE49-F238E27FC236}">
              <a16:creationId xmlns:a16="http://schemas.microsoft.com/office/drawing/2014/main" id="{82A91C7C-7B95-4248-BBC4-BED4C970A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299012</xdr:colOff>
      <xdr:row>22</xdr:row>
      <xdr:rowOff>28937</xdr:rowOff>
    </xdr:from>
    <xdr:to>
      <xdr:col>18</xdr:col>
      <xdr:colOff>128368</xdr:colOff>
      <xdr:row>36</xdr:row>
      <xdr:rowOff>19292</xdr:rowOff>
    </xdr:to>
    <xdr:graphicFrame macro="">
      <xdr:nvGraphicFramePr>
        <xdr:cNvPr id="5" name="Chart 4">
          <a:extLst>
            <a:ext uri="{FF2B5EF4-FFF2-40B4-BE49-F238E27FC236}">
              <a16:creationId xmlns:a16="http://schemas.microsoft.com/office/drawing/2014/main" id="{72A82639-81DC-4312-AD7C-44F3FDE63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270077</xdr:colOff>
      <xdr:row>6</xdr:row>
      <xdr:rowOff>95867</xdr:rowOff>
    </xdr:from>
    <xdr:to>
      <xdr:col>14</xdr:col>
      <xdr:colOff>578734</xdr:colOff>
      <xdr:row>22</xdr:row>
      <xdr:rowOff>9645</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1B723F8E-901F-482B-987F-5267ACF8A1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927677" y="1238867"/>
              <a:ext cx="5147357" cy="28398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403282</xdr:colOff>
      <xdr:row>4</xdr:row>
      <xdr:rowOff>106101</xdr:rowOff>
    </xdr:from>
    <xdr:to>
      <xdr:col>5</xdr:col>
      <xdr:colOff>559443</xdr:colOff>
      <xdr:row>36</xdr:row>
      <xdr:rowOff>51608</xdr:rowOff>
    </xdr:to>
    <xdr:sp macro="" textlink="">
      <xdr:nvSpPr>
        <xdr:cNvPr id="16" name="Rectangle: Rounded Corners 15">
          <a:extLst>
            <a:ext uri="{FF2B5EF4-FFF2-40B4-BE49-F238E27FC236}">
              <a16:creationId xmlns:a16="http://schemas.microsoft.com/office/drawing/2014/main" id="{6A4B7061-D3D4-8A8A-8A5C-159AD769F3AC}"/>
            </a:ext>
          </a:extLst>
        </xdr:cNvPr>
        <xdr:cNvSpPr/>
      </xdr:nvSpPr>
      <xdr:spPr>
        <a:xfrm>
          <a:off x="403282" y="839164"/>
          <a:ext cx="3194515" cy="585824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xdr:col>
      <xdr:colOff>279721</xdr:colOff>
      <xdr:row>13</xdr:row>
      <xdr:rowOff>109530</xdr:rowOff>
    </xdr:from>
    <xdr:to>
      <xdr:col>5</xdr:col>
      <xdr:colOff>19291</xdr:colOff>
      <xdr:row>23</xdr:row>
      <xdr:rowOff>11131</xdr:rowOff>
    </xdr:to>
    <mc:AlternateContent xmlns:mc="http://schemas.openxmlformats.org/markup-compatibility/2006" xmlns:a14="http://schemas.microsoft.com/office/drawing/2010/main">
      <mc:Choice Requires="a14">
        <xdr:graphicFrame macro="">
          <xdr:nvGraphicFramePr>
            <xdr:cNvPr id="19" name="Most Played Artist">
              <a:extLst>
                <a:ext uri="{FF2B5EF4-FFF2-40B4-BE49-F238E27FC236}">
                  <a16:creationId xmlns:a16="http://schemas.microsoft.com/office/drawing/2014/main" id="{F4D04C9A-4A0F-4BF2-98DC-EFEFB546AEBB}"/>
                </a:ext>
              </a:extLst>
            </xdr:cNvPr>
            <xdr:cNvGraphicFramePr/>
          </xdr:nvGraphicFramePr>
          <xdr:xfrm>
            <a:off x="0" y="0"/>
            <a:ext cx="0" cy="0"/>
          </xdr:xfrm>
          <a:graphic>
            <a:graphicData uri="http://schemas.microsoft.com/office/drawing/2010/slicer">
              <sle:slicer xmlns:sle="http://schemas.microsoft.com/office/drawing/2010/slicer" name="Most Played Artist"/>
            </a:graphicData>
          </a:graphic>
        </xdr:graphicFrame>
      </mc:Choice>
      <mc:Fallback xmlns="">
        <xdr:sp macro="" textlink="">
          <xdr:nvSpPr>
            <xdr:cNvPr id="0" name=""/>
            <xdr:cNvSpPr>
              <a:spLocks noTextEdit="1"/>
            </xdr:cNvSpPr>
          </xdr:nvSpPr>
          <xdr:spPr>
            <a:xfrm>
              <a:off x="887392" y="2540214"/>
              <a:ext cx="2170253" cy="1734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250785</xdr:colOff>
      <xdr:row>24</xdr:row>
      <xdr:rowOff>96032</xdr:rowOff>
    </xdr:from>
    <xdr:to>
      <xdr:col>5</xdr:col>
      <xdr:colOff>19292</xdr:colOff>
      <xdr:row>34</xdr:row>
      <xdr:rowOff>119868</xdr:rowOff>
    </xdr:to>
    <mc:AlternateContent xmlns:mc="http://schemas.openxmlformats.org/markup-compatibility/2006" xmlns:a14="http://schemas.microsoft.com/office/drawing/2010/main">
      <mc:Choice Requires="a14">
        <xdr:graphicFrame macro="">
          <xdr:nvGraphicFramePr>
            <xdr:cNvPr id="20" name="Repeat Song Rate (%) 1">
              <a:extLst>
                <a:ext uri="{FF2B5EF4-FFF2-40B4-BE49-F238E27FC236}">
                  <a16:creationId xmlns:a16="http://schemas.microsoft.com/office/drawing/2014/main" id="{95DE9C7A-BF13-4275-A184-1C873E69CD69}"/>
                </a:ext>
              </a:extLst>
            </xdr:cNvPr>
            <xdr:cNvGraphicFramePr/>
          </xdr:nvGraphicFramePr>
          <xdr:xfrm>
            <a:off x="0" y="0"/>
            <a:ext cx="0" cy="0"/>
          </xdr:xfrm>
          <a:graphic>
            <a:graphicData uri="http://schemas.microsoft.com/office/drawing/2010/slicer">
              <sle:slicer xmlns:sle="http://schemas.microsoft.com/office/drawing/2010/slicer" name="Repeat Song Rate (%) 1"/>
            </a:graphicData>
          </a:graphic>
        </xdr:graphicFrame>
      </mc:Choice>
      <mc:Fallback xmlns="">
        <xdr:sp macro="" textlink="">
          <xdr:nvSpPr>
            <xdr:cNvPr id="0" name=""/>
            <xdr:cNvSpPr>
              <a:spLocks noTextEdit="1"/>
            </xdr:cNvSpPr>
          </xdr:nvSpPr>
          <xdr:spPr>
            <a:xfrm>
              <a:off x="858456" y="4542640"/>
              <a:ext cx="2199190" cy="1856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86810</xdr:colOff>
      <xdr:row>0</xdr:row>
      <xdr:rowOff>53340</xdr:rowOff>
    </xdr:from>
    <xdr:to>
      <xdr:col>24</xdr:col>
      <xdr:colOff>588380</xdr:colOff>
      <xdr:row>2</xdr:row>
      <xdr:rowOff>82826</xdr:rowOff>
    </xdr:to>
    <xdr:sp macro="" textlink="">
      <xdr:nvSpPr>
        <xdr:cNvPr id="21" name="TextBox 20">
          <a:extLst>
            <a:ext uri="{FF2B5EF4-FFF2-40B4-BE49-F238E27FC236}">
              <a16:creationId xmlns:a16="http://schemas.microsoft.com/office/drawing/2014/main" id="{E54D6151-63A9-B360-4FC5-D3F069A43EBA}"/>
            </a:ext>
          </a:extLst>
        </xdr:cNvPr>
        <xdr:cNvSpPr txBox="1"/>
      </xdr:nvSpPr>
      <xdr:spPr>
        <a:xfrm>
          <a:off x="3732835" y="53340"/>
          <a:ext cx="11401064" cy="396018"/>
        </a:xfrm>
        <a:prstGeom prst="rect">
          <a:avLst/>
        </a:prstGeom>
        <a:solidFill>
          <a:schemeClr val="tx2">
            <a:lumMod val="25000"/>
            <a:lumOff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baseline="0">
              <a:solidFill>
                <a:schemeClr val="tx2">
                  <a:lumMod val="75000"/>
                  <a:lumOff val="25000"/>
                </a:schemeClr>
              </a:solidFill>
            </a:rPr>
            <a:t>LISTENER REPEAT RATES &amp; ARTIST PERFORMANCE</a:t>
          </a:r>
          <a:endParaRPr lang="en-US" sz="2000" b="1">
            <a:solidFill>
              <a:schemeClr val="tx2">
                <a:lumMod val="75000"/>
                <a:lumOff val="25000"/>
              </a:schemeClr>
            </a:solidFill>
          </a:endParaRPr>
        </a:p>
      </xdr:txBody>
    </xdr:sp>
    <xdr:clientData/>
  </xdr:twoCellAnchor>
  <xdr:oneCellAnchor>
    <xdr:from>
      <xdr:col>21</xdr:col>
      <xdr:colOff>182880</xdr:colOff>
      <xdr:row>4</xdr:row>
      <xdr:rowOff>53340</xdr:rowOff>
    </xdr:from>
    <xdr:ext cx="662940" cy="455060"/>
    <xdr:sp macro="" textlink="">
      <xdr:nvSpPr>
        <xdr:cNvPr id="23" name="TextBox 22">
          <a:extLst>
            <a:ext uri="{FF2B5EF4-FFF2-40B4-BE49-F238E27FC236}">
              <a16:creationId xmlns:a16="http://schemas.microsoft.com/office/drawing/2014/main" id="{CAF0BA9B-697E-2F5B-F052-90B063E7841B}"/>
            </a:ext>
          </a:extLst>
        </xdr:cNvPr>
        <xdr:cNvSpPr txBox="1"/>
      </xdr:nvSpPr>
      <xdr:spPr>
        <a:xfrm flipH="1">
          <a:off x="12984480" y="784860"/>
          <a:ext cx="662940" cy="455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1</xdr:col>
      <xdr:colOff>19290</xdr:colOff>
      <xdr:row>5</xdr:row>
      <xdr:rowOff>144683</xdr:rowOff>
    </xdr:from>
    <xdr:to>
      <xdr:col>5</xdr:col>
      <xdr:colOff>260430</xdr:colOff>
      <xdr:row>12</xdr:row>
      <xdr:rowOff>171971</xdr:rowOff>
    </xdr:to>
    <xdr:sp macro="" textlink="">
      <xdr:nvSpPr>
        <xdr:cNvPr id="28" name="Rectangle 27">
          <a:extLst>
            <a:ext uri="{FF2B5EF4-FFF2-40B4-BE49-F238E27FC236}">
              <a16:creationId xmlns:a16="http://schemas.microsoft.com/office/drawing/2014/main" id="{2F9EC08C-C08B-6DDB-AA51-6174D7104220}"/>
            </a:ext>
          </a:extLst>
        </xdr:cNvPr>
        <xdr:cNvSpPr/>
      </xdr:nvSpPr>
      <xdr:spPr>
        <a:xfrm>
          <a:off x="626961" y="1061012"/>
          <a:ext cx="2671823" cy="1358377"/>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baseline="0">
              <a:solidFill>
                <a:schemeClr val="tx2"/>
              </a:solidFill>
            </a:rPr>
            <a:t>STREAMING INSIGHTS:- </a:t>
          </a:r>
        </a:p>
        <a:p>
          <a:pPr algn="l"/>
          <a:r>
            <a:rPr lang="en-US" sz="1200" b="1" i="1" baseline="0"/>
            <a:t>Tracking global music streaming trends to understand listener engagement, repeat song trend, track performance &amp; peak listening slots.</a:t>
          </a:r>
          <a:endParaRPr lang="en-US" sz="1200" b="1" i="1"/>
        </a:p>
      </xdr:txBody>
    </xdr:sp>
    <xdr:clientData/>
  </xdr:twoCellAnchor>
  <xdr:twoCellAnchor>
    <xdr:from>
      <xdr:col>4</xdr:col>
      <xdr:colOff>356152</xdr:colOff>
      <xdr:row>2</xdr:row>
      <xdr:rowOff>74543</xdr:rowOff>
    </xdr:from>
    <xdr:to>
      <xdr:col>7</xdr:col>
      <xdr:colOff>596348</xdr:colOff>
      <xdr:row>4</xdr:row>
      <xdr:rowOff>41413</xdr:rowOff>
    </xdr:to>
    <xdr:sp macro="" textlink="">
      <xdr:nvSpPr>
        <xdr:cNvPr id="6" name="TextBox 5">
          <a:extLst>
            <a:ext uri="{FF2B5EF4-FFF2-40B4-BE49-F238E27FC236}">
              <a16:creationId xmlns:a16="http://schemas.microsoft.com/office/drawing/2014/main" id="{23081CBA-72C5-3CCD-BA16-35AE784788C4}"/>
            </a:ext>
          </a:extLst>
        </xdr:cNvPr>
        <xdr:cNvSpPr txBox="1"/>
      </xdr:nvSpPr>
      <xdr:spPr>
        <a:xfrm>
          <a:off x="2807804" y="438978"/>
          <a:ext cx="2037522" cy="331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AVG MIN STREAMED PER DAY</a:t>
          </a:r>
        </a:p>
      </xdr:txBody>
    </xdr:sp>
    <xdr:clientData/>
  </xdr:twoCellAnchor>
  <xdr:twoCellAnchor>
    <xdr:from>
      <xdr:col>8</xdr:col>
      <xdr:colOff>124238</xdr:colOff>
      <xdr:row>2</xdr:row>
      <xdr:rowOff>74543</xdr:rowOff>
    </xdr:from>
    <xdr:to>
      <xdr:col>11</xdr:col>
      <xdr:colOff>430696</xdr:colOff>
      <xdr:row>4</xdr:row>
      <xdr:rowOff>24848</xdr:rowOff>
    </xdr:to>
    <xdr:sp macro="" textlink="">
      <xdr:nvSpPr>
        <xdr:cNvPr id="7" name="TextBox 6">
          <a:extLst>
            <a:ext uri="{FF2B5EF4-FFF2-40B4-BE49-F238E27FC236}">
              <a16:creationId xmlns:a16="http://schemas.microsoft.com/office/drawing/2014/main" id="{7D8861E2-653F-4CA0-D2FE-7E4317507A7C}"/>
            </a:ext>
          </a:extLst>
        </xdr:cNvPr>
        <xdr:cNvSpPr txBox="1"/>
      </xdr:nvSpPr>
      <xdr:spPr>
        <a:xfrm>
          <a:off x="4986129" y="438978"/>
          <a:ext cx="2145197" cy="314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NO. OF SONGS LIKED</a:t>
          </a:r>
        </a:p>
      </xdr:txBody>
    </xdr:sp>
    <xdr:clientData/>
  </xdr:twoCellAnchor>
  <xdr:twoCellAnchor>
    <xdr:from>
      <xdr:col>11</xdr:col>
      <xdr:colOff>472108</xdr:colOff>
      <xdr:row>2</xdr:row>
      <xdr:rowOff>74542</xdr:rowOff>
    </xdr:from>
    <xdr:to>
      <xdr:col>15</xdr:col>
      <xdr:colOff>563216</xdr:colOff>
      <xdr:row>4</xdr:row>
      <xdr:rowOff>33130</xdr:rowOff>
    </xdr:to>
    <xdr:sp macro="" textlink="">
      <xdr:nvSpPr>
        <xdr:cNvPr id="8" name="TextBox 7">
          <a:extLst>
            <a:ext uri="{FF2B5EF4-FFF2-40B4-BE49-F238E27FC236}">
              <a16:creationId xmlns:a16="http://schemas.microsoft.com/office/drawing/2014/main" id="{D90773BC-64CF-29F7-9444-F42FE59BCA34}"/>
            </a:ext>
          </a:extLst>
        </xdr:cNvPr>
        <xdr:cNvSpPr txBox="1"/>
      </xdr:nvSpPr>
      <xdr:spPr>
        <a:xfrm>
          <a:off x="7172738" y="438977"/>
          <a:ext cx="2542761" cy="3230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WEEKLY</a:t>
          </a:r>
          <a:r>
            <a:rPr lang="en-US" sz="1200" b="1" baseline="0"/>
            <a:t> ENGAGEMENT RATE(%)</a:t>
          </a:r>
          <a:endParaRPr lang="en-US" sz="1200" b="1"/>
        </a:p>
      </xdr:txBody>
    </xdr:sp>
    <xdr:clientData/>
  </xdr:twoCellAnchor>
  <xdr:twoCellAnchor>
    <xdr:from>
      <xdr:col>16</xdr:col>
      <xdr:colOff>132521</xdr:colOff>
      <xdr:row>2</xdr:row>
      <xdr:rowOff>115956</xdr:rowOff>
    </xdr:from>
    <xdr:to>
      <xdr:col>19</xdr:col>
      <xdr:colOff>248477</xdr:colOff>
      <xdr:row>4</xdr:row>
      <xdr:rowOff>33130</xdr:rowOff>
    </xdr:to>
    <xdr:sp macro="" textlink="">
      <xdr:nvSpPr>
        <xdr:cNvPr id="9" name="TextBox 8">
          <a:extLst>
            <a:ext uri="{FF2B5EF4-FFF2-40B4-BE49-F238E27FC236}">
              <a16:creationId xmlns:a16="http://schemas.microsoft.com/office/drawing/2014/main" id="{2C87BEEB-0958-274B-6565-2727ACED07AE}"/>
            </a:ext>
          </a:extLst>
        </xdr:cNvPr>
        <xdr:cNvSpPr txBox="1"/>
      </xdr:nvSpPr>
      <xdr:spPr>
        <a:xfrm>
          <a:off x="9897717" y="480391"/>
          <a:ext cx="1954695" cy="281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REPEAT SONGS RATE (%)</a:t>
          </a:r>
        </a:p>
      </xdr:txBody>
    </xdr:sp>
    <xdr:clientData/>
  </xdr:twoCellAnchor>
  <xdr:twoCellAnchor>
    <xdr:from>
      <xdr:col>19</xdr:col>
      <xdr:colOff>482278</xdr:colOff>
      <xdr:row>2</xdr:row>
      <xdr:rowOff>125393</xdr:rowOff>
    </xdr:from>
    <xdr:to>
      <xdr:col>22</xdr:col>
      <xdr:colOff>96456</xdr:colOff>
      <xdr:row>3</xdr:row>
      <xdr:rowOff>173622</xdr:rowOff>
    </xdr:to>
    <xdr:sp macro="" textlink="">
      <xdr:nvSpPr>
        <xdr:cNvPr id="11" name="TextBox 10">
          <a:extLst>
            <a:ext uri="{FF2B5EF4-FFF2-40B4-BE49-F238E27FC236}">
              <a16:creationId xmlns:a16="http://schemas.microsoft.com/office/drawing/2014/main" id="{3672ED10-0218-F3E8-1E8B-DE6B804A048F}"/>
            </a:ext>
          </a:extLst>
        </xdr:cNvPr>
        <xdr:cNvSpPr txBox="1"/>
      </xdr:nvSpPr>
      <xdr:spPr>
        <a:xfrm>
          <a:off x="11989443" y="491925"/>
          <a:ext cx="1437190" cy="2314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CORREL</a:t>
          </a:r>
          <a:endParaRPr lang="en-US" sz="1100" b="1"/>
        </a:p>
      </xdr:txBody>
    </xdr:sp>
    <xdr:clientData/>
  </xdr:twoCellAnchor>
</xdr:wsDr>
</file>

<file path=xl/drawings/drawing12.xml><?xml version="1.0" encoding="utf-8"?>
<c:userShapes xmlns:c="http://schemas.openxmlformats.org/drawingml/2006/chart">
  <cdr:relSizeAnchor xmlns:cdr="http://schemas.openxmlformats.org/drawingml/2006/chartDrawing">
    <cdr:from>
      <cdr:x>0.73323</cdr:x>
      <cdr:y>0.1</cdr:y>
    </cdr:from>
    <cdr:to>
      <cdr:x>0.97561</cdr:x>
      <cdr:y>0.62222</cdr:y>
    </cdr:to>
    <cdr:sp macro="" textlink="">
      <cdr:nvSpPr>
        <cdr:cNvPr id="2" name="Rectangle 1">
          <a:extLst xmlns:a="http://schemas.openxmlformats.org/drawingml/2006/main">
            <a:ext uri="{FF2B5EF4-FFF2-40B4-BE49-F238E27FC236}">
              <a16:creationId xmlns:a16="http://schemas.microsoft.com/office/drawing/2014/main" id="{B41B6395-5860-B964-4936-8AFE82B12D42}"/>
            </a:ext>
          </a:extLst>
        </cdr:cNvPr>
        <cdr:cNvSpPr/>
      </cdr:nvSpPr>
      <cdr:spPr>
        <a:xfrm xmlns:a="http://schemas.openxmlformats.org/drawingml/2006/main">
          <a:off x="3665211" y="274321"/>
          <a:ext cx="1211590" cy="1432559"/>
        </a:xfrm>
        <a:prstGeom xmlns:a="http://schemas.openxmlformats.org/drawingml/2006/main" prst="rect">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b="1" kern="1200">
              <a:solidFill>
                <a:schemeClr val="tx2">
                  <a:lumMod val="90000"/>
                  <a:lumOff val="10000"/>
                </a:schemeClr>
              </a:solidFill>
            </a:rPr>
            <a:t>Morning</a:t>
          </a:r>
          <a:r>
            <a:rPr lang="en-US" b="1" kern="1200">
              <a:solidFill>
                <a:schemeClr val="tx2">
                  <a:lumMod val="75000"/>
                  <a:lumOff val="25000"/>
                </a:schemeClr>
              </a:solidFill>
            </a:rPr>
            <a:t> has highest</a:t>
          </a:r>
          <a:r>
            <a:rPr lang="en-US" b="1" kern="1200" baseline="0">
              <a:solidFill>
                <a:schemeClr val="tx2">
                  <a:lumMod val="75000"/>
                  <a:lumOff val="25000"/>
                </a:schemeClr>
              </a:solidFill>
            </a:rPr>
            <a:t> repeat songs rate for each artists,</a:t>
          </a:r>
        </a:p>
        <a:p xmlns:a="http://schemas.openxmlformats.org/drawingml/2006/main">
          <a:r>
            <a:rPr lang="en-US" b="1" kern="1200" baseline="0">
              <a:solidFill>
                <a:schemeClr val="tx2">
                  <a:lumMod val="75000"/>
                  <a:lumOff val="25000"/>
                </a:schemeClr>
              </a:solidFill>
            </a:rPr>
            <a:t>while night shows lowest repeat rate.</a:t>
          </a:r>
          <a:endParaRPr lang="en-US" b="1" kern="1200">
            <a:solidFill>
              <a:schemeClr val="tx2">
                <a:lumMod val="75000"/>
                <a:lumOff val="25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0.24732</cdr:x>
      <cdr:y>0.2125</cdr:y>
    </cdr:from>
    <cdr:to>
      <cdr:x>0.9571</cdr:x>
      <cdr:y>0.45845</cdr:y>
    </cdr:to>
    <cdr:sp macro="" textlink="">
      <cdr:nvSpPr>
        <cdr:cNvPr id="2" name="Rectangle: Rounded Corners 1">
          <a:extLst xmlns:a="http://schemas.openxmlformats.org/drawingml/2006/main">
            <a:ext uri="{FF2B5EF4-FFF2-40B4-BE49-F238E27FC236}">
              <a16:creationId xmlns:a16="http://schemas.microsoft.com/office/drawing/2014/main" id="{D11E427F-FE84-B09E-1867-FB7A03140875}"/>
            </a:ext>
          </a:extLst>
        </cdr:cNvPr>
        <cdr:cNvSpPr/>
      </cdr:nvSpPr>
      <cdr:spPr>
        <a:xfrm xmlns:a="http://schemas.openxmlformats.org/drawingml/2006/main">
          <a:off x="1284808" y="523708"/>
          <a:ext cx="3687152" cy="606156"/>
        </a:xfrm>
        <a:prstGeom xmlns:a="http://schemas.openxmlformats.org/drawingml/2006/main" prst="roundRect">
          <a:avLst/>
        </a:prstGeom>
        <a:ln xmlns:a="http://schemas.openxmlformats.org/drawingml/2006/main">
          <a:solidFill>
            <a:schemeClr val="tx1"/>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US" sz="1200" b="1" kern="1200"/>
            <a:t>The average repeat song </a:t>
          </a:r>
          <a:r>
            <a:rPr lang="en-US" sz="1200" b="1" kern="1200" baseline="0"/>
            <a:t>higher at 46% for users with few liked songs (1-100).</a:t>
          </a:r>
          <a:endParaRPr lang="en-US"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ali Mhatre" refreshedDate="46250.623878819446" createdVersion="8" refreshedVersion="8" minRefreshableVersion="3" recordCount="762" xr:uid="{0921DD04-6EF9-46A0-BA24-AFCD58E518B8}">
  <cacheSource type="worksheet">
    <worksheetSource ref="A1:L763" sheet="CLEANED DATA"/>
  </cacheSource>
  <cacheFields count="12">
    <cacheField name="User_ID" numFmtId="0">
      <sharedItems/>
    </cacheField>
    <cacheField name="Age" numFmtId="0">
      <sharedItems containsSemiMixedTypes="0" containsString="0" containsNumber="1" containsInteger="1" minValue="13" maxValue="60" count="48">
        <n v="49"/>
        <n v="40"/>
        <n v="53"/>
        <n v="42"/>
        <n v="30"/>
        <n v="60"/>
        <n v="26"/>
        <n v="34"/>
        <n v="18"/>
        <n v="14"/>
        <n v="13"/>
        <n v="23"/>
        <n v="46"/>
        <n v="59"/>
        <n v="20"/>
        <n v="22"/>
        <n v="27"/>
        <n v="19"/>
        <n v="48"/>
        <n v="56"/>
        <n v="50"/>
        <n v="33"/>
        <n v="38"/>
        <n v="32"/>
        <n v="21"/>
        <n v="54"/>
        <n v="52"/>
        <n v="39"/>
        <n v="31"/>
        <n v="25"/>
        <n v="35"/>
        <n v="28"/>
        <n v="43"/>
        <n v="15"/>
        <n v="16"/>
        <n v="36"/>
        <n v="55"/>
        <n v="47"/>
        <n v="51"/>
        <n v="58"/>
        <n v="57"/>
        <n v="37"/>
        <n v="44"/>
        <n v="45"/>
        <n v="41"/>
        <n v="29"/>
        <n v="17"/>
        <n v="24"/>
      </sharedItems>
      <fieldGroup base="1">
        <rangePr startNum="13" endNum="60" groupInterval="10"/>
        <groupItems count="7">
          <s v="&lt;13"/>
          <s v="13-22"/>
          <s v="23-32"/>
          <s v="33-42"/>
          <s v="43-52"/>
          <s v="53-62"/>
          <s v="&gt;63"/>
        </groupItems>
      </fieldGroup>
    </cacheField>
    <cacheField name="Country" numFmtId="0">
      <sharedItems/>
    </cacheField>
    <cacheField name="Streaming Platform" numFmtId="0">
      <sharedItems count="6">
        <s v="Tidal"/>
        <s v="Deezer"/>
        <s v="Apple Music"/>
        <s v="YouTube"/>
        <s v="Amazon Music"/>
        <s v="Spotify"/>
      </sharedItems>
    </cacheField>
    <cacheField name="Top Genre" numFmtId="0">
      <sharedItems count="6">
        <s v="Country"/>
        <s v="Reggae"/>
        <s v="Hip-Hop"/>
        <s v="Classical"/>
        <s v="Rock"/>
        <s v="Pop"/>
      </sharedItems>
    </cacheField>
    <cacheField name="Minutes Streamed Per Day" numFmtId="0">
      <sharedItems containsSemiMixedTypes="0" containsString="0" containsNumber="1" containsInteger="1" minValue="10" maxValue="900"/>
    </cacheField>
    <cacheField name="Number of Songs Liked" numFmtId="0">
      <sharedItems containsSemiMixedTypes="0" containsString="0" containsNumber="1" containsInteger="1" minValue="1" maxValue="500" count="386">
        <n v="70"/>
        <n v="462"/>
        <n v="300"/>
        <n v="464"/>
        <n v="191"/>
        <n v="301"/>
        <n v="451"/>
        <n v="310"/>
        <n v="165"/>
        <n v="171"/>
        <n v="153"/>
        <n v="354"/>
        <n v="419"/>
        <n v="102"/>
        <n v="198"/>
        <n v="274"/>
        <n v="84"/>
        <n v="112"/>
        <n v="88"/>
        <n v="193"/>
        <n v="85"/>
        <n v="130"/>
        <n v="485"/>
        <n v="97"/>
        <n v="435"/>
        <n v="226"/>
        <n v="91"/>
        <n v="9"/>
        <n v="212"/>
        <n v="443"/>
        <n v="31"/>
        <n v="421"/>
        <n v="168"/>
        <n v="424"/>
        <n v="448"/>
        <n v="246"/>
        <n v="228"/>
        <n v="417"/>
        <n v="377"/>
        <n v="333"/>
        <n v="437"/>
        <n v="428"/>
        <n v="256"/>
        <n v="348"/>
        <n v="143"/>
        <n v="44"/>
        <n v="237"/>
        <n v="491"/>
        <n v="170"/>
        <n v="461"/>
        <n v="378"/>
        <n v="132"/>
        <n v="236"/>
        <n v="245"/>
        <n v="307"/>
        <n v="482"/>
        <n v="431"/>
        <n v="99"/>
        <n v="183"/>
        <n v="243"/>
        <n v="110"/>
        <n v="433"/>
        <n v="248"/>
        <n v="87"/>
        <n v="75"/>
        <n v="160"/>
        <n v="7"/>
        <n v="429"/>
        <n v="363"/>
        <n v="80"/>
        <n v="127"/>
        <n v="240"/>
        <n v="222"/>
        <n v="154"/>
        <n v="217"/>
        <n v="157"/>
        <n v="24"/>
        <n v="69"/>
        <n v="119"/>
        <n v="202"/>
        <n v="3"/>
        <n v="343"/>
        <n v="105"/>
        <n v="223"/>
        <n v="290"/>
        <n v="366"/>
        <n v="133"/>
        <n v="352"/>
        <n v="104"/>
        <n v="225"/>
        <n v="151"/>
        <n v="192"/>
        <n v="213"/>
        <n v="187"/>
        <n v="166"/>
        <n v="235"/>
        <n v="14"/>
        <n v="108"/>
        <n v="262"/>
        <n v="294"/>
        <n v="164"/>
        <n v="426"/>
        <n v="494"/>
        <n v="203"/>
        <n v="98"/>
        <n v="320"/>
        <n v="178"/>
        <n v="484"/>
        <n v="78"/>
        <n v="314"/>
        <n v="479"/>
        <n v="13"/>
        <n v="369"/>
        <n v="306"/>
        <n v="15"/>
        <n v="162"/>
        <n v="388"/>
        <n v="289"/>
        <n v="264"/>
        <n v="321"/>
        <n v="214"/>
        <n v="292"/>
        <n v="296"/>
        <n v="500"/>
        <n v="361"/>
        <n v="96"/>
        <n v="239"/>
        <n v="74"/>
        <n v="115"/>
        <n v="268"/>
        <n v="403"/>
        <n v="260"/>
        <n v="466"/>
        <n v="483"/>
        <n v="392"/>
        <n v="6"/>
        <n v="252"/>
        <n v="107"/>
        <n v="32"/>
        <n v="258"/>
        <n v="121"/>
        <n v="177"/>
        <n v="436"/>
        <n v="409"/>
        <n v="27"/>
        <n v="412"/>
        <n v="486"/>
        <n v="169"/>
        <n v="60"/>
        <n v="471"/>
        <n v="62"/>
        <n v="360"/>
        <n v="358"/>
        <n v="257"/>
        <n v="278"/>
        <n v="218"/>
        <n v="440"/>
        <n v="396"/>
        <n v="446"/>
        <n v="8"/>
        <n v="53"/>
        <n v="230"/>
        <n v="415"/>
        <n v="77"/>
        <n v="423"/>
        <n v="266"/>
        <n v="1"/>
        <n v="499"/>
        <n v="383"/>
        <n v="155"/>
        <n v="175"/>
        <n v="52"/>
        <n v="492"/>
        <n v="250"/>
        <n v="54"/>
        <n v="468"/>
        <n v="460"/>
        <n v="381"/>
        <n v="364"/>
        <n v="194"/>
        <n v="309"/>
        <n v="163"/>
        <n v="35"/>
        <n v="141"/>
        <n v="158"/>
        <n v="72"/>
        <n v="190"/>
        <n v="458"/>
        <n v="447"/>
        <n v="291"/>
        <n v="131"/>
        <n v="495"/>
        <n v="445"/>
        <n v="475"/>
        <n v="150"/>
        <n v="404"/>
        <n v="287"/>
        <n v="454"/>
        <n v="94"/>
        <n v="480"/>
        <n v="254"/>
        <n v="39"/>
        <n v="4"/>
        <n v="472"/>
        <n v="11"/>
        <n v="129"/>
        <n v="293"/>
        <n v="244"/>
        <n v="456"/>
        <n v="401"/>
        <n v="395"/>
        <n v="196"/>
        <n v="318"/>
        <n v="37"/>
        <n v="351"/>
        <n v="36"/>
        <n v="182"/>
        <n v="379"/>
        <n v="184"/>
        <n v="367"/>
        <n v="220"/>
        <n v="81"/>
        <n v="64"/>
        <n v="47"/>
        <n v="38"/>
        <n v="465"/>
        <n v="148"/>
        <n v="326"/>
        <n v="204"/>
        <n v="179"/>
        <n v="498"/>
        <n v="375"/>
        <n v="347"/>
        <n v="474"/>
        <n v="29"/>
        <n v="349"/>
        <n v="17"/>
        <n v="242"/>
        <n v="455"/>
        <n v="418"/>
        <n v="463"/>
        <n v="370"/>
        <n v="413"/>
        <n v="380"/>
        <n v="126"/>
        <n v="167"/>
        <n v="263"/>
        <n v="138"/>
        <n v="173"/>
        <n v="341"/>
        <n v="145"/>
        <n v="152"/>
        <n v="283"/>
        <n v="26"/>
        <n v="221"/>
        <n v="16"/>
        <n v="332"/>
        <n v="90"/>
        <n v="467"/>
        <n v="350"/>
        <n v="134"/>
        <n v="390"/>
        <n v="368"/>
        <n v="188"/>
        <n v="432"/>
        <n v="92"/>
        <n v="42"/>
        <n v="20"/>
        <n v="55"/>
        <n v="199"/>
        <n v="156"/>
        <n v="73"/>
        <n v="384"/>
        <n v="441"/>
        <n v="211"/>
        <n v="197"/>
        <n v="109"/>
        <n v="324"/>
        <n v="176"/>
        <n v="46"/>
        <n v="337"/>
        <n v="327"/>
        <n v="439"/>
        <n v="311"/>
        <n v="416"/>
        <n v="93"/>
        <n v="147"/>
        <n v="79"/>
        <n v="251"/>
        <n v="271"/>
        <n v="51"/>
        <n v="372"/>
        <n v="270"/>
        <n v="279"/>
        <n v="387"/>
        <n v="356"/>
        <n v="496"/>
        <n v="172"/>
        <n v="317"/>
        <n v="430"/>
        <n v="450"/>
        <n v="61"/>
        <n v="373"/>
        <n v="308"/>
        <n v="449"/>
        <n v="63"/>
        <n v="382"/>
        <n v="229"/>
        <n v="285"/>
        <n v="83"/>
        <n v="249"/>
        <n v="234"/>
        <n v="123"/>
        <n v="295"/>
        <n v="174"/>
        <n v="365"/>
        <n v="113"/>
        <n v="478"/>
        <n v="103"/>
        <n v="49"/>
        <n v="481"/>
        <n v="144"/>
        <n v="344"/>
        <n v="231"/>
        <n v="335"/>
        <n v="345"/>
        <n v="10"/>
        <n v="255"/>
        <n v="316"/>
        <n v="438"/>
        <n v="459"/>
        <n v="470"/>
        <n v="114"/>
        <n v="181"/>
        <n v="427"/>
        <n v="334"/>
        <n v="286"/>
        <n v="41"/>
        <n v="57"/>
        <n v="476"/>
        <n v="453"/>
        <n v="288"/>
        <n v="95"/>
        <n v="111"/>
        <n v="422"/>
        <n v="346"/>
        <n v="385"/>
        <n v="272"/>
        <n v="12"/>
        <n v="28"/>
        <n v="359"/>
        <n v="487"/>
        <n v="393"/>
        <n v="313"/>
        <n v="247"/>
        <n v="277"/>
        <n v="298"/>
        <n v="18"/>
        <n v="329"/>
        <n v="45"/>
        <n v="201"/>
        <n v="76"/>
        <n v="397"/>
        <n v="106"/>
        <n v="362"/>
        <n v="135"/>
        <n v="140"/>
        <n v="315"/>
        <n v="208"/>
        <n v="477"/>
        <n v="2"/>
        <n v="408"/>
        <n v="259"/>
        <n v="488"/>
        <n v="101"/>
        <n v="331"/>
        <n v="209"/>
        <n v="238"/>
        <n v="269"/>
        <n v="414"/>
        <n v="302"/>
        <n v="137"/>
        <n v="420"/>
        <n v="425"/>
        <n v="374"/>
        <n v="59"/>
      </sharedItems>
      <fieldGroup base="6">
        <rangePr startNum="1" endNum="500" groupInterval="100"/>
        <groupItems count="7">
          <s v="&lt;1"/>
          <s v="1-100"/>
          <s v="101-200"/>
          <s v="201-300"/>
          <s v="301-400"/>
          <s v="401-500"/>
          <s v="&gt;501"/>
        </groupItems>
      </fieldGroup>
    </cacheField>
    <cacheField name="Most Played Artist" numFmtId="0">
      <sharedItems count="5">
        <s v="Billie Eilish"/>
        <s v="Taylor Swift"/>
        <s v="Ed Sheeran"/>
        <s v="BTS"/>
        <s v="Bad Bunny"/>
      </sharedItems>
    </cacheField>
    <cacheField name="Subscription Type" numFmtId="0">
      <sharedItems count="2">
        <s v="Free"/>
        <s v="Premium"/>
      </sharedItems>
    </cacheField>
    <cacheField name="Listening Time (Morning/Afternoon/Night)" numFmtId="0">
      <sharedItems count="3">
        <s v="Night"/>
        <s v="Afternoon"/>
        <s v="Morning"/>
      </sharedItems>
    </cacheField>
    <cacheField name="Discover Weekly Engagement (%)" numFmtId="0">
      <sharedItems containsSemiMixedTypes="0" containsString="0" containsNumber="1" minValue="10.199999999999999" maxValue="89.75"/>
    </cacheField>
    <cacheField name="Repeat Song Rate (%)" numFmtId="0">
      <sharedItems containsSemiMixedTypes="0" containsString="0" containsNumber="1" minValue="5.1100000000000003" maxValue="79.989999999999995" count="731">
        <n v="37.75"/>
        <n v="8.73"/>
        <n v="75.12"/>
        <n v="45.91"/>
        <n v="53.98"/>
        <n v="55.35"/>
        <n v="23.09"/>
        <n v="18.579999999999998"/>
        <n v="62.1"/>
        <n v="46.14"/>
        <n v="60.28"/>
        <n v="72.64"/>
        <n v="20.12"/>
        <n v="55.65"/>
        <n v="13.84"/>
        <n v="55.09"/>
        <n v="11.02"/>
        <n v="33.229999999999997"/>
        <n v="35.520000000000003"/>
        <n v="79.98"/>
        <n v="34.700000000000003"/>
        <n v="19.829999999999998"/>
        <n v="49.88"/>
        <n v="27.92"/>
        <n v="12.25"/>
        <n v="14.4"/>
        <n v="26.29"/>
        <n v="20.99"/>
        <n v="32.51"/>
        <n v="36.69"/>
        <n v="55.56"/>
        <n v="42.1"/>
        <n v="63.7"/>
        <n v="66.16"/>
        <n v="9.42"/>
        <n v="54.47"/>
        <n v="65.55"/>
        <n v="6.65"/>
        <n v="58.45"/>
        <n v="22.71"/>
        <n v="64.62"/>
        <n v="20.09"/>
        <n v="79.12"/>
        <n v="7.06"/>
        <n v="37.729999999999997"/>
        <n v="52.91"/>
        <n v="32.93"/>
        <n v="5.51"/>
        <n v="10.41"/>
        <n v="11.5"/>
        <n v="65.77"/>
        <n v="43.93"/>
        <n v="44.99"/>
        <n v="70.8"/>
        <n v="72.680000000000007"/>
        <n v="56.83"/>
        <n v="13.73"/>
        <n v="13.44"/>
        <n v="71.03"/>
        <n v="60.35"/>
        <n v="10.74"/>
        <n v="41.93"/>
        <n v="28.63"/>
        <n v="25.43"/>
        <n v="18.93"/>
        <n v="56.49"/>
        <n v="67.73"/>
        <n v="30.94"/>
        <n v="79.06"/>
        <n v="62.25"/>
        <n v="30.63"/>
        <n v="34.06"/>
        <n v="52.23"/>
        <n v="65.650000000000006"/>
        <n v="46.19"/>
        <n v="58.01"/>
        <n v="12.58"/>
        <n v="25.88"/>
        <n v="22.33"/>
        <n v="44.09"/>
        <n v="58.16"/>
        <n v="12.1"/>
        <n v="75.569999999999993"/>
        <n v="74.61"/>
        <n v="73.73"/>
        <n v="74.010000000000005"/>
        <n v="52.97"/>
        <n v="72.430000000000007"/>
        <n v="63.8"/>
        <n v="17.78"/>
        <n v="64.81"/>
        <n v="76.69"/>
        <n v="11.77"/>
        <n v="42.98"/>
        <n v="47.39"/>
        <n v="38.5"/>
        <n v="33.93"/>
        <n v="23.25"/>
        <n v="77.400000000000006"/>
        <n v="12.97"/>
        <n v="78.040000000000006"/>
        <n v="70.040000000000006"/>
        <n v="35.17"/>
        <n v="74.47"/>
        <n v="33.26"/>
        <n v="47.67"/>
        <n v="44.54"/>
        <n v="73.680000000000007"/>
        <n v="9.24"/>
        <n v="18.97"/>
        <n v="68.39"/>
        <n v="60.61"/>
        <n v="10.19"/>
        <n v="15.37"/>
        <n v="26.04"/>
        <n v="49.29"/>
        <n v="72.31"/>
        <n v="24.37"/>
        <n v="7.21"/>
        <n v="24.56"/>
        <n v="40.18"/>
        <n v="50.67"/>
        <n v="9.14"/>
        <n v="30.56"/>
        <n v="64.63"/>
        <n v="32.03"/>
        <n v="29.7"/>
        <n v="64.89"/>
        <n v="9.94"/>
        <n v="28.55"/>
        <n v="36.17"/>
        <n v="35.119999999999997"/>
        <n v="36.53"/>
        <n v="47.22"/>
        <n v="18.98"/>
        <n v="18.72"/>
        <n v="41.61"/>
        <n v="61.38"/>
        <n v="41.47"/>
        <n v="65.930000000000007"/>
        <n v="31.35"/>
        <n v="36.68"/>
        <n v="26.81"/>
        <n v="58.75"/>
        <n v="51.8"/>
        <n v="68.86"/>
        <n v="34.08"/>
        <n v="8.65"/>
        <n v="68.08"/>
        <n v="41.7"/>
        <n v="68.739999999999995"/>
        <n v="77.430000000000007"/>
        <n v="36.36"/>
        <n v="37.96"/>
        <n v="79.349999999999994"/>
        <n v="58.3"/>
        <n v="6.73"/>
        <n v="62.67"/>
        <n v="37.25"/>
        <n v="47.09"/>
        <n v="66"/>
        <n v="37.24"/>
        <n v="54.76"/>
        <n v="42.3"/>
        <n v="71.69"/>
        <n v="69.66"/>
        <n v="66.17"/>
        <n v="49.2"/>
        <n v="27.79"/>
        <n v="41.49"/>
        <n v="64.489999999999995"/>
        <n v="53.61"/>
        <n v="45.9"/>
        <n v="47.62"/>
        <n v="9.2799999999999994"/>
        <n v="38.08"/>
        <n v="73.510000000000005"/>
        <n v="63.09"/>
        <n v="12.77"/>
        <n v="67.91"/>
        <n v="32.39"/>
        <n v="65.78"/>
        <n v="54.17"/>
        <n v="6.42"/>
        <n v="5.25"/>
        <n v="26.73"/>
        <n v="79.099999999999994"/>
        <n v="32.880000000000003"/>
        <n v="16.059999999999999"/>
        <n v="46.86"/>
        <n v="50.58"/>
        <n v="32.549999999999997"/>
        <n v="34.28"/>
        <n v="15.93"/>
        <n v="38.979999999999997"/>
        <n v="50.23"/>
        <n v="77.290000000000006"/>
        <n v="61.94"/>
        <n v="54.21"/>
        <n v="45.46"/>
        <n v="22.03"/>
        <n v="48.03"/>
        <n v="65.39"/>
        <n v="53.69"/>
        <n v="36.549999999999997"/>
        <n v="44.04"/>
        <n v="55.3"/>
        <n v="21.15"/>
        <n v="55.9"/>
        <n v="14.59"/>
        <n v="31.49"/>
        <n v="52.28"/>
        <n v="38.909999999999997"/>
        <n v="44.22"/>
        <n v="61.07"/>
        <n v="69.16"/>
        <n v="67.22"/>
        <n v="22"/>
        <n v="58.17"/>
        <n v="30.55"/>
        <n v="22.38"/>
        <n v="9.2200000000000006"/>
        <n v="58.44"/>
        <n v="44.78"/>
        <n v="36.82"/>
        <n v="10.35"/>
        <n v="34.479999999999997"/>
        <n v="39.31"/>
        <n v="47.97"/>
        <n v="37.369999999999997"/>
        <n v="35.380000000000003"/>
        <n v="71.81"/>
        <n v="6.13"/>
        <n v="31.15"/>
        <n v="10.55"/>
        <n v="29.45"/>
        <n v="17.829999999999998"/>
        <n v="11.43"/>
        <n v="52.15"/>
        <n v="30.22"/>
        <n v="26.9"/>
        <n v="58.73"/>
        <n v="34.840000000000003"/>
        <n v="23.05"/>
        <n v="48.45"/>
        <n v="40.89"/>
        <n v="53.08"/>
        <n v="23.43"/>
        <n v="49.82"/>
        <n v="24.67"/>
        <n v="12.31"/>
        <n v="75.31"/>
        <n v="62.79"/>
        <n v="48.66"/>
        <n v="61.65"/>
        <n v="23.67"/>
        <n v="8.6199999999999992"/>
        <n v="41.77"/>
        <n v="9.01"/>
        <n v="9.2100000000000009"/>
        <n v="14.87"/>
        <n v="30.75"/>
        <n v="26.31"/>
        <n v="78.17"/>
        <n v="21.99"/>
        <n v="50.24"/>
        <n v="41.16"/>
        <n v="18.07"/>
        <n v="57.3"/>
        <n v="27.63"/>
        <n v="27.03"/>
        <n v="39.78"/>
        <n v="78.06"/>
        <n v="77"/>
        <n v="27.39"/>
        <n v="10.69"/>
        <n v="71.13"/>
        <n v="36.47"/>
        <n v="12.81"/>
        <n v="12.24"/>
        <n v="12.91"/>
        <n v="70.08"/>
        <n v="31.52"/>
        <n v="70.52"/>
        <n v="73.63"/>
        <n v="35.67"/>
        <n v="35.630000000000003"/>
        <n v="34.61"/>
        <n v="60.37"/>
        <n v="75.62"/>
        <n v="18.670000000000002"/>
        <n v="6.12"/>
        <n v="29.66"/>
        <n v="77.16"/>
        <n v="50.16"/>
        <n v="72.73"/>
        <n v="22.5"/>
        <n v="16.63"/>
        <n v="78.930000000000007"/>
        <n v="69.17"/>
        <n v="49.35"/>
        <n v="20.41"/>
        <n v="23.08"/>
        <n v="8.02"/>
        <n v="67.42"/>
        <n v="73.599999999999994"/>
        <n v="77.63"/>
        <n v="62.24"/>
        <n v="56.33"/>
        <n v="33.14"/>
        <n v="53.36"/>
        <n v="56.47"/>
        <n v="25.73"/>
        <n v="24.76"/>
        <n v="72.09"/>
        <n v="9.1199999999999992"/>
        <n v="79.989999999999995"/>
        <n v="75.16"/>
        <n v="60.57"/>
        <n v="29.93"/>
        <n v="56.91"/>
        <n v="60.13"/>
        <n v="15.72"/>
        <n v="49.42"/>
        <n v="27.62"/>
        <n v="75.87"/>
        <n v="49.71"/>
        <n v="44.77"/>
        <n v="69.14"/>
        <n v="31.46"/>
        <n v="19.329999999999998"/>
        <n v="59.94"/>
        <n v="9.06"/>
        <n v="68.47"/>
        <n v="69.67"/>
        <n v="41.1"/>
        <n v="61.71"/>
        <n v="36.630000000000003"/>
        <n v="64.83"/>
        <n v="53.5"/>
        <n v="20.14"/>
        <n v="63.85"/>
        <n v="78.16"/>
        <n v="70.33"/>
        <n v="5.16"/>
        <n v="37.44"/>
        <n v="35.659999999999997"/>
        <n v="27.33"/>
        <n v="60.46"/>
        <n v="18.78"/>
        <n v="76.05"/>
        <n v="54.71"/>
        <n v="44.4"/>
        <n v="18.86"/>
        <n v="71.22"/>
        <n v="25.82"/>
        <n v="19.940000000000001"/>
        <n v="37.42"/>
        <n v="79.66"/>
        <n v="6.27"/>
        <n v="24.62"/>
        <n v="73.64"/>
        <n v="73.22"/>
        <n v="18.3"/>
        <n v="11.18"/>
        <n v="22.31"/>
        <n v="62.71"/>
        <n v="66.14"/>
        <n v="25.74"/>
        <n v="73.77"/>
        <n v="51.14"/>
        <n v="46.77"/>
        <n v="16.87"/>
        <n v="77.819999999999993"/>
        <n v="49.24"/>
        <n v="46.29"/>
        <n v="20.63"/>
        <n v="8.4"/>
        <n v="16.32"/>
        <n v="68.55"/>
        <n v="47.74"/>
        <n v="58.61"/>
        <n v="62.46"/>
        <n v="73.67"/>
        <n v="7.11"/>
        <n v="54.83"/>
        <n v="20.350000000000001"/>
        <n v="29.79"/>
        <n v="37.46"/>
        <n v="25.44"/>
        <n v="16.510000000000002"/>
        <n v="13.63"/>
        <n v="64.53"/>
        <n v="67.489999999999995"/>
        <n v="32.72"/>
        <n v="35.01"/>
        <n v="18.59"/>
        <n v="40.58"/>
        <n v="35.65"/>
        <n v="8.3000000000000007"/>
        <n v="58.54"/>
        <n v="35.880000000000003"/>
        <n v="74.03"/>
        <n v="68.150000000000006"/>
        <n v="33.840000000000003"/>
        <n v="22.7"/>
        <n v="31.89"/>
        <n v="48.22"/>
        <n v="79.25"/>
        <n v="31.23"/>
        <n v="13.31"/>
        <n v="22.41"/>
        <n v="72.459999999999994"/>
        <n v="26.15"/>
        <n v="58.57"/>
        <n v="73.849999999999994"/>
        <n v="12.55"/>
        <n v="25.1"/>
        <n v="14.82"/>
        <n v="56.44"/>
        <n v="7.47"/>
        <n v="20.93"/>
        <n v="34.770000000000003"/>
        <n v="33.700000000000003"/>
        <n v="46.23"/>
        <n v="74.42"/>
        <n v="53.6"/>
        <n v="55.99"/>
        <n v="50.02"/>
        <n v="65.11"/>
        <n v="22.04"/>
        <n v="28.23"/>
        <n v="72.75"/>
        <n v="70.87"/>
        <n v="29.31"/>
        <n v="59.96"/>
        <n v="12.69"/>
        <n v="75.61"/>
        <n v="66.459999999999994"/>
        <n v="60.32"/>
        <n v="43.03"/>
        <n v="44.52"/>
        <n v="5.9"/>
        <n v="17.84"/>
        <n v="47.38"/>
        <n v="70.16"/>
        <n v="56.23"/>
        <n v="9.8800000000000008"/>
        <n v="17.55"/>
        <n v="27.66"/>
        <n v="6.09"/>
        <n v="67.02"/>
        <n v="21.86"/>
        <n v="73.87"/>
        <n v="37.299999999999997"/>
        <n v="75.650000000000006"/>
        <n v="60.02"/>
        <n v="41.25"/>
        <n v="78.62"/>
        <n v="8.23"/>
        <n v="29.01"/>
        <n v="45.28"/>
        <n v="15.17"/>
        <n v="33.61"/>
        <n v="39.94"/>
        <n v="57.11"/>
        <n v="25.3"/>
        <n v="26.1"/>
        <n v="63.66"/>
        <n v="65.59"/>
        <n v="20.100000000000001"/>
        <n v="64.77"/>
        <n v="65.13"/>
        <n v="27.61"/>
        <n v="16.72"/>
        <n v="30.4"/>
        <n v="44.53"/>
        <n v="61.72"/>
        <n v="17"/>
        <n v="7.42"/>
        <n v="22.66"/>
        <n v="45.74"/>
        <n v="30.39"/>
        <n v="68.239999999999995"/>
        <n v="75.290000000000006"/>
        <n v="57.62"/>
        <n v="50.96"/>
        <n v="77.790000000000006"/>
        <n v="44.6"/>
        <n v="5.96"/>
        <n v="13.99"/>
        <n v="74.510000000000005"/>
        <n v="60.58"/>
        <n v="7.98"/>
        <n v="38.619999999999997"/>
        <n v="42.09"/>
        <n v="6.52"/>
        <n v="56.94"/>
        <n v="55.07"/>
        <n v="66.58"/>
        <n v="52.31"/>
        <n v="36.04"/>
        <n v="52.74"/>
        <n v="79.86"/>
        <n v="25.19"/>
        <n v="58.85"/>
        <n v="17.87"/>
        <n v="36.51"/>
        <n v="71.010000000000005"/>
        <n v="18.47"/>
        <n v="78.58"/>
        <n v="51.32"/>
        <n v="61.69"/>
        <n v="57.18"/>
        <n v="37.549999999999997"/>
        <n v="15.3"/>
        <n v="55.95"/>
        <n v="68.17"/>
        <n v="8.2100000000000009"/>
        <n v="62.69"/>
        <n v="76.7"/>
        <n v="38.409999999999997"/>
        <n v="39.049999999999997"/>
        <n v="29.99"/>
        <n v="68.97"/>
        <n v="56.95"/>
        <n v="16.079999999999998"/>
        <n v="43.58"/>
        <n v="18.28"/>
        <n v="63.35"/>
        <n v="32.659999999999997"/>
        <n v="49.34"/>
        <n v="51.9"/>
        <n v="9.4499999999999993"/>
        <n v="34.11"/>
        <n v="15.24"/>
        <n v="13.72"/>
        <n v="34.21"/>
        <n v="20.58"/>
        <n v="47.41"/>
        <n v="57.5"/>
        <n v="15.52"/>
        <n v="57.08"/>
        <n v="50.46"/>
        <n v="40.5"/>
        <n v="8.0500000000000007"/>
        <n v="12.64"/>
        <n v="42.42"/>
        <n v="42.31"/>
        <n v="58.18"/>
        <n v="75.37"/>
        <n v="24.36"/>
        <n v="41.22"/>
        <n v="79.48"/>
        <n v="74.13"/>
        <n v="71.319999999999993"/>
        <n v="13.86"/>
        <n v="55.67"/>
        <n v="62.11"/>
        <n v="15.98"/>
        <n v="74.17"/>
        <n v="79.92"/>
        <n v="28.46"/>
        <n v="8.42"/>
        <n v="26.65"/>
        <n v="79.19"/>
        <n v="54.57"/>
        <n v="58.67"/>
        <n v="45.66"/>
        <n v="70.98"/>
        <n v="52.34"/>
        <n v="23.15"/>
        <n v="53.28"/>
        <n v="72.819999999999993"/>
        <n v="64.87"/>
        <n v="77.22"/>
        <n v="29.81"/>
        <n v="8.5399999999999991"/>
        <n v="57.03"/>
        <n v="18.23"/>
        <n v="62.87"/>
        <n v="25.27"/>
        <n v="68.069999999999993"/>
        <n v="25.97"/>
        <n v="75.319999999999993"/>
        <n v="11.24"/>
        <n v="45.44"/>
        <n v="76.48"/>
        <n v="43.02"/>
        <n v="65.88"/>
        <n v="26.97"/>
        <n v="6.84"/>
        <n v="73.27"/>
        <n v="68.83"/>
        <n v="33.36"/>
        <n v="45.5"/>
        <n v="45.7"/>
        <n v="65.45"/>
        <n v="63.12"/>
        <n v="28.34"/>
        <n v="63"/>
        <n v="49.25"/>
        <n v="17.13"/>
        <n v="17.93"/>
        <n v="32.159999999999997"/>
        <n v="15.2"/>
        <n v="15.58"/>
        <n v="30.34"/>
        <n v="61.84"/>
        <n v="42.57"/>
        <n v="15.41"/>
        <n v="55.68"/>
        <n v="30.35"/>
        <n v="47.05"/>
        <n v="29.69"/>
        <n v="65.69"/>
        <n v="39.770000000000003"/>
        <n v="62.28"/>
        <n v="41.83"/>
        <n v="58.43"/>
        <n v="37.78"/>
        <n v="37"/>
        <n v="43.23"/>
        <n v="53.05"/>
        <n v="63.15"/>
        <n v="35.770000000000003"/>
        <n v="34.42"/>
        <n v="67.17"/>
        <n v="43"/>
        <n v="39.909999999999997"/>
        <n v="31.48"/>
        <n v="35.700000000000003"/>
        <n v="11.15"/>
        <n v="15.65"/>
        <n v="22.2"/>
        <n v="39.18"/>
        <n v="59.95"/>
        <n v="52.48"/>
        <n v="41.85"/>
        <n v="67.069999999999993"/>
        <n v="18"/>
        <n v="68.61"/>
        <n v="71.040000000000006"/>
        <n v="21.92"/>
        <n v="43.41"/>
        <n v="38.89"/>
        <n v="29.29"/>
        <n v="23.01"/>
        <n v="60.69"/>
        <n v="39.380000000000003"/>
        <n v="58.22"/>
        <n v="49.14"/>
        <n v="35.549999999999997"/>
        <n v="12.11"/>
        <n v="30.38"/>
        <n v="35.020000000000003"/>
        <n v="73.47"/>
        <n v="56.6"/>
        <n v="51.19"/>
        <n v="28.68"/>
        <n v="32.630000000000003"/>
        <n v="62.15"/>
        <n v="12.09"/>
        <n v="26.39"/>
        <n v="56.89"/>
        <n v="34.03"/>
        <n v="23.31"/>
        <n v="9.5399999999999991"/>
        <n v="43.24"/>
        <n v="9.7200000000000006"/>
        <n v="36.9"/>
        <n v="11.82"/>
        <n v="47.82"/>
        <n v="54.34"/>
        <n v="20.28"/>
        <n v="21.37"/>
        <n v="54.67"/>
        <n v="55.73"/>
        <n v="21.22"/>
        <n v="21.96"/>
        <n v="37.74"/>
        <n v="70.319999999999993"/>
        <n v="31.39"/>
        <n v="41.23"/>
        <n v="38.450000000000003"/>
        <n v="24.54"/>
        <n v="57.83"/>
        <n v="68.94"/>
        <n v="43.06"/>
        <n v="58.95"/>
        <n v="16.13"/>
        <n v="38.01"/>
        <n v="8.1999999999999993"/>
        <n v="36.85"/>
        <n v="36.950000000000003"/>
        <n v="5.1100000000000003"/>
        <n v="17.850000000000001"/>
        <n v="35.6"/>
        <n v="25.09"/>
        <n v="70.44"/>
        <n v="8.39"/>
        <n v="19.45"/>
        <n v="74.95"/>
        <n v="70.31"/>
        <n v="56.68"/>
        <n v="28.39"/>
        <n v="6.71"/>
        <n v="35.81"/>
        <n v="52.51"/>
        <n v="35.56"/>
        <n v="32.36"/>
        <n v="74.72"/>
        <n v="32.979999999999997"/>
        <n v="37.9"/>
        <n v="61.24"/>
        <n v="74.069999999999993"/>
        <n v="31.94"/>
        <n v="32.01"/>
        <n v="9.51"/>
        <n v="26.51"/>
        <n v="78.510000000000005"/>
        <n v="9.66"/>
        <n v="39.340000000000003"/>
        <n v="34.17"/>
        <n v="8.35"/>
        <n v="64.349999999999994"/>
        <n v="52.29"/>
        <n v="48.56"/>
        <n v="41.2"/>
        <n v="5.34"/>
        <n v="58.23"/>
      </sharedItems>
    </cacheField>
  </cacheFields>
  <extLst>
    <ext xmlns:x14="http://schemas.microsoft.com/office/spreadsheetml/2009/9/main" uri="{725AE2AE-9491-48be-B2B4-4EB974FC3084}">
      <x14:pivotCacheDefinition pivotCacheId="626624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2">
  <r>
    <s v="U1006"/>
    <x v="0"/>
    <s v="Australia"/>
    <x v="0"/>
    <x v="0"/>
    <n v="547"/>
    <x v="0"/>
    <x v="0"/>
    <x v="0"/>
    <x v="0"/>
    <n v="11.92"/>
    <x v="0"/>
  </r>
  <r>
    <s v="U1010"/>
    <x v="1"/>
    <s v="South Korea"/>
    <x v="1"/>
    <x v="1"/>
    <n v="266"/>
    <x v="1"/>
    <x v="1"/>
    <x v="1"/>
    <x v="1"/>
    <n v="87.77"/>
    <x v="1"/>
  </r>
  <r>
    <s v="U1039"/>
    <x v="2"/>
    <s v="USA"/>
    <x v="2"/>
    <x v="1"/>
    <n v="478"/>
    <x v="2"/>
    <x v="1"/>
    <x v="0"/>
    <x v="1"/>
    <n v="88.44"/>
    <x v="2"/>
  </r>
  <r>
    <s v="U1045"/>
    <x v="3"/>
    <s v="India"/>
    <x v="3"/>
    <x v="2"/>
    <n v="404"/>
    <x v="3"/>
    <x v="2"/>
    <x v="1"/>
    <x v="1"/>
    <n v="27.4"/>
    <x v="3"/>
  </r>
  <r>
    <s v="U1059"/>
    <x v="4"/>
    <s v="UK"/>
    <x v="4"/>
    <x v="3"/>
    <n v="67"/>
    <x v="4"/>
    <x v="3"/>
    <x v="0"/>
    <x v="2"/>
    <n v="85"/>
    <x v="4"/>
  </r>
  <r>
    <s v="U1061"/>
    <x v="5"/>
    <s v="USA"/>
    <x v="2"/>
    <x v="4"/>
    <n v="262"/>
    <x v="5"/>
    <x v="3"/>
    <x v="0"/>
    <x v="2"/>
    <n v="35.53"/>
    <x v="5"/>
  </r>
  <r>
    <s v="U1064"/>
    <x v="6"/>
    <s v="South Korea"/>
    <x v="0"/>
    <x v="2"/>
    <n v="316"/>
    <x v="6"/>
    <x v="0"/>
    <x v="1"/>
    <x v="0"/>
    <n v="32.01"/>
    <x v="6"/>
  </r>
  <r>
    <s v="U1072"/>
    <x v="7"/>
    <s v="UK"/>
    <x v="3"/>
    <x v="0"/>
    <n v="530"/>
    <x v="7"/>
    <x v="2"/>
    <x v="0"/>
    <x v="1"/>
    <n v="33.21"/>
    <x v="7"/>
  </r>
  <r>
    <s v="U1076"/>
    <x v="8"/>
    <s v="USA"/>
    <x v="0"/>
    <x v="3"/>
    <n v="435"/>
    <x v="8"/>
    <x v="3"/>
    <x v="0"/>
    <x v="1"/>
    <n v="24.8"/>
    <x v="8"/>
  </r>
  <r>
    <s v="U1078"/>
    <x v="9"/>
    <s v="Australia"/>
    <x v="3"/>
    <x v="5"/>
    <n v="364"/>
    <x v="9"/>
    <x v="2"/>
    <x v="1"/>
    <x v="0"/>
    <n v="11.74"/>
    <x v="9"/>
  </r>
  <r>
    <s v="U1087"/>
    <x v="1"/>
    <s v="India"/>
    <x v="0"/>
    <x v="0"/>
    <n v="88"/>
    <x v="10"/>
    <x v="1"/>
    <x v="1"/>
    <x v="0"/>
    <n v="53.63"/>
    <x v="10"/>
  </r>
  <r>
    <s v="U1090"/>
    <x v="10"/>
    <s v="Australia"/>
    <x v="4"/>
    <x v="0"/>
    <n v="31"/>
    <x v="11"/>
    <x v="4"/>
    <x v="0"/>
    <x v="2"/>
    <n v="25.42"/>
    <x v="11"/>
  </r>
  <r>
    <s v="U1098"/>
    <x v="11"/>
    <s v="Australia"/>
    <x v="5"/>
    <x v="5"/>
    <n v="311"/>
    <x v="12"/>
    <x v="1"/>
    <x v="0"/>
    <x v="0"/>
    <n v="19.66"/>
    <x v="12"/>
  </r>
  <r>
    <s v="U1099"/>
    <x v="12"/>
    <s v="South Korea"/>
    <x v="5"/>
    <x v="2"/>
    <n v="11"/>
    <x v="13"/>
    <x v="0"/>
    <x v="0"/>
    <x v="0"/>
    <n v="43.81"/>
    <x v="13"/>
  </r>
  <r>
    <s v="U1103"/>
    <x v="13"/>
    <s v="USA"/>
    <x v="0"/>
    <x v="5"/>
    <n v="476"/>
    <x v="14"/>
    <x v="2"/>
    <x v="0"/>
    <x v="2"/>
    <n v="58.36"/>
    <x v="14"/>
  </r>
  <r>
    <s v="U1104"/>
    <x v="14"/>
    <s v="India"/>
    <x v="1"/>
    <x v="4"/>
    <n v="144"/>
    <x v="15"/>
    <x v="0"/>
    <x v="1"/>
    <x v="1"/>
    <n v="45.38"/>
    <x v="15"/>
  </r>
  <r>
    <s v="U1106"/>
    <x v="3"/>
    <s v="UK"/>
    <x v="5"/>
    <x v="1"/>
    <n v="76"/>
    <x v="16"/>
    <x v="2"/>
    <x v="0"/>
    <x v="0"/>
    <n v="30.14"/>
    <x v="16"/>
  </r>
  <r>
    <s v="U1112"/>
    <x v="3"/>
    <s v="Australia"/>
    <x v="1"/>
    <x v="1"/>
    <n v="531"/>
    <x v="17"/>
    <x v="1"/>
    <x v="1"/>
    <x v="1"/>
    <n v="63.28"/>
    <x v="17"/>
  </r>
  <r>
    <s v="U1113"/>
    <x v="15"/>
    <s v="Australia"/>
    <x v="1"/>
    <x v="2"/>
    <n v="234"/>
    <x v="18"/>
    <x v="3"/>
    <x v="1"/>
    <x v="0"/>
    <n v="63.51"/>
    <x v="18"/>
  </r>
  <r>
    <s v="U1124"/>
    <x v="10"/>
    <s v="USA"/>
    <x v="2"/>
    <x v="3"/>
    <n v="44"/>
    <x v="19"/>
    <x v="0"/>
    <x v="0"/>
    <x v="0"/>
    <n v="43.17"/>
    <x v="19"/>
  </r>
  <r>
    <s v="U1138"/>
    <x v="16"/>
    <s v="UK"/>
    <x v="4"/>
    <x v="5"/>
    <n v="372"/>
    <x v="20"/>
    <x v="0"/>
    <x v="0"/>
    <x v="1"/>
    <n v="25.58"/>
    <x v="20"/>
  </r>
  <r>
    <s v="U1141"/>
    <x v="17"/>
    <s v="USA"/>
    <x v="0"/>
    <x v="1"/>
    <n v="146"/>
    <x v="21"/>
    <x v="2"/>
    <x v="1"/>
    <x v="1"/>
    <n v="44.31"/>
    <x v="21"/>
  </r>
  <r>
    <s v="U1151"/>
    <x v="18"/>
    <s v="South Korea"/>
    <x v="2"/>
    <x v="1"/>
    <n v="513"/>
    <x v="22"/>
    <x v="2"/>
    <x v="0"/>
    <x v="1"/>
    <n v="61.93"/>
    <x v="22"/>
  </r>
  <r>
    <s v="U1154"/>
    <x v="19"/>
    <s v="Australia"/>
    <x v="0"/>
    <x v="5"/>
    <n v="284"/>
    <x v="23"/>
    <x v="3"/>
    <x v="1"/>
    <x v="1"/>
    <n v="19.05"/>
    <x v="23"/>
  </r>
  <r>
    <s v="U1165"/>
    <x v="4"/>
    <s v="India"/>
    <x v="4"/>
    <x v="3"/>
    <n v="595"/>
    <x v="24"/>
    <x v="1"/>
    <x v="0"/>
    <x v="1"/>
    <n v="49.22"/>
    <x v="24"/>
  </r>
  <r>
    <s v="U1169"/>
    <x v="5"/>
    <s v="Australia"/>
    <x v="5"/>
    <x v="0"/>
    <n v="37"/>
    <x v="25"/>
    <x v="3"/>
    <x v="0"/>
    <x v="1"/>
    <n v="76.78"/>
    <x v="25"/>
  </r>
  <r>
    <s v="U1173"/>
    <x v="20"/>
    <s v="India"/>
    <x v="3"/>
    <x v="0"/>
    <n v="524"/>
    <x v="26"/>
    <x v="0"/>
    <x v="1"/>
    <x v="1"/>
    <n v="70.83"/>
    <x v="26"/>
  </r>
  <r>
    <s v="U1176"/>
    <x v="21"/>
    <s v="India"/>
    <x v="1"/>
    <x v="1"/>
    <n v="518"/>
    <x v="27"/>
    <x v="3"/>
    <x v="1"/>
    <x v="2"/>
    <n v="30.64"/>
    <x v="27"/>
  </r>
  <r>
    <s v="U1189"/>
    <x v="22"/>
    <s v="Australia"/>
    <x v="4"/>
    <x v="4"/>
    <n v="151"/>
    <x v="28"/>
    <x v="1"/>
    <x v="1"/>
    <x v="1"/>
    <n v="49.49"/>
    <x v="28"/>
  </r>
  <r>
    <s v="U1195"/>
    <x v="0"/>
    <s v="USA"/>
    <x v="4"/>
    <x v="0"/>
    <n v="352"/>
    <x v="29"/>
    <x v="2"/>
    <x v="0"/>
    <x v="2"/>
    <n v="73.11"/>
    <x v="29"/>
  </r>
  <r>
    <s v="U1197"/>
    <x v="23"/>
    <s v="India"/>
    <x v="5"/>
    <x v="1"/>
    <n v="119"/>
    <x v="30"/>
    <x v="2"/>
    <x v="1"/>
    <x v="1"/>
    <n v="85.39"/>
    <x v="30"/>
  </r>
  <r>
    <s v="U1204"/>
    <x v="24"/>
    <s v="Australia"/>
    <x v="4"/>
    <x v="0"/>
    <n v="551"/>
    <x v="31"/>
    <x v="2"/>
    <x v="0"/>
    <x v="2"/>
    <n v="49.2"/>
    <x v="31"/>
  </r>
  <r>
    <s v="U1210"/>
    <x v="15"/>
    <s v="South Korea"/>
    <x v="4"/>
    <x v="2"/>
    <n v="372"/>
    <x v="32"/>
    <x v="0"/>
    <x v="0"/>
    <x v="0"/>
    <n v="24.79"/>
    <x v="32"/>
  </r>
  <r>
    <s v="U1216"/>
    <x v="9"/>
    <s v="UK"/>
    <x v="4"/>
    <x v="0"/>
    <n v="51"/>
    <x v="33"/>
    <x v="4"/>
    <x v="0"/>
    <x v="1"/>
    <n v="59.28"/>
    <x v="33"/>
  </r>
  <r>
    <s v="U1220"/>
    <x v="25"/>
    <s v="Australia"/>
    <x v="1"/>
    <x v="0"/>
    <n v="440"/>
    <x v="34"/>
    <x v="2"/>
    <x v="1"/>
    <x v="1"/>
    <n v="55.32"/>
    <x v="34"/>
  </r>
  <r>
    <s v="U1221"/>
    <x v="8"/>
    <s v="UK"/>
    <x v="1"/>
    <x v="2"/>
    <n v="570"/>
    <x v="35"/>
    <x v="1"/>
    <x v="1"/>
    <x v="0"/>
    <n v="69.77"/>
    <x v="35"/>
  </r>
  <r>
    <s v="U1237"/>
    <x v="26"/>
    <s v="India"/>
    <x v="5"/>
    <x v="3"/>
    <n v="139"/>
    <x v="36"/>
    <x v="3"/>
    <x v="0"/>
    <x v="2"/>
    <n v="11.98"/>
    <x v="36"/>
  </r>
  <r>
    <s v="U1259"/>
    <x v="8"/>
    <s v="USA"/>
    <x v="4"/>
    <x v="1"/>
    <n v="493"/>
    <x v="37"/>
    <x v="4"/>
    <x v="1"/>
    <x v="2"/>
    <n v="72.34"/>
    <x v="37"/>
  </r>
  <r>
    <s v="U1277"/>
    <x v="2"/>
    <s v="USA"/>
    <x v="0"/>
    <x v="1"/>
    <n v="514"/>
    <x v="38"/>
    <x v="1"/>
    <x v="0"/>
    <x v="0"/>
    <n v="83.19"/>
    <x v="38"/>
  </r>
  <r>
    <s v="U1284"/>
    <x v="23"/>
    <s v="South Korea"/>
    <x v="1"/>
    <x v="4"/>
    <n v="409"/>
    <x v="39"/>
    <x v="3"/>
    <x v="1"/>
    <x v="2"/>
    <n v="11.84"/>
    <x v="39"/>
  </r>
  <r>
    <s v="U1285"/>
    <x v="27"/>
    <s v="USA"/>
    <x v="2"/>
    <x v="0"/>
    <n v="342"/>
    <x v="40"/>
    <x v="3"/>
    <x v="1"/>
    <x v="0"/>
    <n v="70.05"/>
    <x v="40"/>
  </r>
  <r>
    <s v="U1287"/>
    <x v="13"/>
    <s v="South Korea"/>
    <x v="4"/>
    <x v="1"/>
    <n v="311"/>
    <x v="41"/>
    <x v="3"/>
    <x v="1"/>
    <x v="2"/>
    <n v="74.86"/>
    <x v="41"/>
  </r>
  <r>
    <s v="U1292"/>
    <x v="10"/>
    <s v="South Korea"/>
    <x v="1"/>
    <x v="3"/>
    <n v="446"/>
    <x v="42"/>
    <x v="2"/>
    <x v="0"/>
    <x v="2"/>
    <n v="38.68"/>
    <x v="42"/>
  </r>
  <r>
    <s v="U1293"/>
    <x v="16"/>
    <s v="South Korea"/>
    <x v="0"/>
    <x v="5"/>
    <n v="369"/>
    <x v="43"/>
    <x v="4"/>
    <x v="0"/>
    <x v="1"/>
    <n v="88.99"/>
    <x v="43"/>
  </r>
  <r>
    <s v="U1307"/>
    <x v="6"/>
    <s v="South Korea"/>
    <x v="2"/>
    <x v="3"/>
    <n v="10"/>
    <x v="44"/>
    <x v="2"/>
    <x v="0"/>
    <x v="0"/>
    <n v="17.809999999999999"/>
    <x v="44"/>
  </r>
  <r>
    <s v="U1308"/>
    <x v="26"/>
    <s v="USA"/>
    <x v="1"/>
    <x v="2"/>
    <n v="200"/>
    <x v="45"/>
    <x v="0"/>
    <x v="1"/>
    <x v="0"/>
    <n v="14.84"/>
    <x v="45"/>
  </r>
  <r>
    <s v="U1309"/>
    <x v="18"/>
    <s v="USA"/>
    <x v="5"/>
    <x v="4"/>
    <n v="542"/>
    <x v="15"/>
    <x v="4"/>
    <x v="1"/>
    <x v="1"/>
    <n v="10.55"/>
    <x v="46"/>
  </r>
  <r>
    <s v="U1312"/>
    <x v="28"/>
    <s v="Australia"/>
    <x v="0"/>
    <x v="5"/>
    <n v="328"/>
    <x v="46"/>
    <x v="2"/>
    <x v="1"/>
    <x v="0"/>
    <n v="67.08"/>
    <x v="47"/>
  </r>
  <r>
    <s v="U1313"/>
    <x v="11"/>
    <s v="India"/>
    <x v="5"/>
    <x v="1"/>
    <n v="289"/>
    <x v="47"/>
    <x v="4"/>
    <x v="1"/>
    <x v="1"/>
    <n v="89"/>
    <x v="48"/>
  </r>
  <r>
    <s v="U1316"/>
    <x v="29"/>
    <s v="Australia"/>
    <x v="2"/>
    <x v="3"/>
    <n v="312"/>
    <x v="48"/>
    <x v="3"/>
    <x v="0"/>
    <x v="1"/>
    <n v="84.38"/>
    <x v="49"/>
  </r>
  <r>
    <s v="U1338"/>
    <x v="30"/>
    <s v="India"/>
    <x v="1"/>
    <x v="4"/>
    <n v="287"/>
    <x v="49"/>
    <x v="4"/>
    <x v="0"/>
    <x v="0"/>
    <n v="54.28"/>
    <x v="50"/>
  </r>
  <r>
    <s v="U1346"/>
    <x v="31"/>
    <s v="UK"/>
    <x v="1"/>
    <x v="1"/>
    <n v="396"/>
    <x v="50"/>
    <x v="4"/>
    <x v="0"/>
    <x v="0"/>
    <n v="31.79"/>
    <x v="51"/>
  </r>
  <r>
    <s v="U1347"/>
    <x v="14"/>
    <s v="Australia"/>
    <x v="0"/>
    <x v="1"/>
    <n v="109"/>
    <x v="51"/>
    <x v="3"/>
    <x v="0"/>
    <x v="0"/>
    <n v="50.08"/>
    <x v="52"/>
  </r>
  <r>
    <s v="U1351"/>
    <x v="6"/>
    <s v="UK"/>
    <x v="2"/>
    <x v="0"/>
    <n v="300"/>
    <x v="52"/>
    <x v="2"/>
    <x v="0"/>
    <x v="1"/>
    <n v="87.81"/>
    <x v="53"/>
  </r>
  <r>
    <s v="U1357"/>
    <x v="3"/>
    <s v="India"/>
    <x v="2"/>
    <x v="2"/>
    <n v="299"/>
    <x v="53"/>
    <x v="1"/>
    <x v="1"/>
    <x v="0"/>
    <n v="44.42"/>
    <x v="54"/>
  </r>
  <r>
    <s v="U1359"/>
    <x v="30"/>
    <s v="UK"/>
    <x v="3"/>
    <x v="2"/>
    <n v="212"/>
    <x v="54"/>
    <x v="1"/>
    <x v="0"/>
    <x v="2"/>
    <n v="77.31"/>
    <x v="55"/>
  </r>
  <r>
    <s v="U1365"/>
    <x v="23"/>
    <s v="India"/>
    <x v="1"/>
    <x v="0"/>
    <n v="257"/>
    <x v="55"/>
    <x v="0"/>
    <x v="0"/>
    <x v="1"/>
    <n v="68.239999999999995"/>
    <x v="56"/>
  </r>
  <r>
    <s v="U1384"/>
    <x v="22"/>
    <s v="Australia"/>
    <x v="2"/>
    <x v="2"/>
    <n v="531"/>
    <x v="56"/>
    <x v="0"/>
    <x v="0"/>
    <x v="2"/>
    <n v="78.78"/>
    <x v="57"/>
  </r>
  <r>
    <s v="U1385"/>
    <x v="32"/>
    <s v="USA"/>
    <x v="5"/>
    <x v="0"/>
    <n v="259"/>
    <x v="57"/>
    <x v="3"/>
    <x v="0"/>
    <x v="1"/>
    <n v="18.36"/>
    <x v="58"/>
  </r>
  <r>
    <s v="U1393"/>
    <x v="29"/>
    <s v="USA"/>
    <x v="0"/>
    <x v="1"/>
    <n v="271"/>
    <x v="58"/>
    <x v="3"/>
    <x v="0"/>
    <x v="0"/>
    <n v="21.03"/>
    <x v="59"/>
  </r>
  <r>
    <s v="U1407"/>
    <x v="18"/>
    <s v="UK"/>
    <x v="1"/>
    <x v="1"/>
    <n v="460"/>
    <x v="59"/>
    <x v="1"/>
    <x v="1"/>
    <x v="1"/>
    <n v="50.42"/>
    <x v="60"/>
  </r>
  <r>
    <s v="U1413"/>
    <x v="26"/>
    <s v="South Korea"/>
    <x v="3"/>
    <x v="1"/>
    <n v="108"/>
    <x v="60"/>
    <x v="2"/>
    <x v="1"/>
    <x v="2"/>
    <n v="15.03"/>
    <x v="61"/>
  </r>
  <r>
    <s v="U1418"/>
    <x v="33"/>
    <s v="Australia"/>
    <x v="3"/>
    <x v="1"/>
    <n v="419"/>
    <x v="30"/>
    <x v="3"/>
    <x v="0"/>
    <x v="0"/>
    <n v="71.319999999999993"/>
    <x v="62"/>
  </r>
  <r>
    <s v="U1423"/>
    <x v="34"/>
    <s v="South Korea"/>
    <x v="4"/>
    <x v="3"/>
    <n v="433"/>
    <x v="61"/>
    <x v="0"/>
    <x v="1"/>
    <x v="1"/>
    <n v="31.83"/>
    <x v="63"/>
  </r>
  <r>
    <s v="U1425"/>
    <x v="35"/>
    <s v="USA"/>
    <x v="5"/>
    <x v="2"/>
    <n v="237"/>
    <x v="25"/>
    <x v="4"/>
    <x v="0"/>
    <x v="0"/>
    <n v="57.27"/>
    <x v="64"/>
  </r>
  <r>
    <s v="U1428"/>
    <x v="35"/>
    <s v="India"/>
    <x v="1"/>
    <x v="5"/>
    <n v="384"/>
    <x v="62"/>
    <x v="4"/>
    <x v="1"/>
    <x v="1"/>
    <n v="27.33"/>
    <x v="65"/>
  </r>
  <r>
    <s v="U1445"/>
    <x v="36"/>
    <s v="USA"/>
    <x v="4"/>
    <x v="4"/>
    <n v="532"/>
    <x v="56"/>
    <x v="0"/>
    <x v="1"/>
    <x v="2"/>
    <n v="61.21"/>
    <x v="66"/>
  </r>
  <r>
    <s v="U1446"/>
    <x v="21"/>
    <s v="Australia"/>
    <x v="2"/>
    <x v="4"/>
    <n v="69"/>
    <x v="63"/>
    <x v="4"/>
    <x v="0"/>
    <x v="0"/>
    <n v="75.41"/>
    <x v="67"/>
  </r>
  <r>
    <s v="U1448"/>
    <x v="28"/>
    <s v="USA"/>
    <x v="3"/>
    <x v="0"/>
    <n v="99"/>
    <x v="64"/>
    <x v="4"/>
    <x v="1"/>
    <x v="0"/>
    <n v="71.400000000000006"/>
    <x v="68"/>
  </r>
  <r>
    <s v="U1449"/>
    <x v="37"/>
    <s v="Australia"/>
    <x v="3"/>
    <x v="2"/>
    <n v="441"/>
    <x v="11"/>
    <x v="2"/>
    <x v="1"/>
    <x v="1"/>
    <n v="46.61"/>
    <x v="69"/>
  </r>
  <r>
    <s v="U1451"/>
    <x v="7"/>
    <s v="India"/>
    <x v="0"/>
    <x v="4"/>
    <n v="447"/>
    <x v="65"/>
    <x v="2"/>
    <x v="1"/>
    <x v="1"/>
    <n v="68.89"/>
    <x v="70"/>
  </r>
  <r>
    <s v="U1452"/>
    <x v="0"/>
    <s v="India"/>
    <x v="4"/>
    <x v="1"/>
    <n v="518"/>
    <x v="66"/>
    <x v="0"/>
    <x v="1"/>
    <x v="2"/>
    <n v="43.73"/>
    <x v="71"/>
  </r>
  <r>
    <s v="U1453"/>
    <x v="16"/>
    <s v="South Korea"/>
    <x v="0"/>
    <x v="2"/>
    <n v="391"/>
    <x v="67"/>
    <x v="1"/>
    <x v="1"/>
    <x v="2"/>
    <n v="88.61"/>
    <x v="72"/>
  </r>
  <r>
    <s v="U1455"/>
    <x v="11"/>
    <s v="USA"/>
    <x v="1"/>
    <x v="1"/>
    <n v="410"/>
    <x v="68"/>
    <x v="0"/>
    <x v="1"/>
    <x v="2"/>
    <n v="23.44"/>
    <x v="73"/>
  </r>
  <r>
    <s v="U1456"/>
    <x v="38"/>
    <s v="India"/>
    <x v="4"/>
    <x v="4"/>
    <n v="441"/>
    <x v="69"/>
    <x v="3"/>
    <x v="0"/>
    <x v="2"/>
    <n v="56.12"/>
    <x v="74"/>
  </r>
  <r>
    <s v="U1458"/>
    <x v="16"/>
    <s v="South Korea"/>
    <x v="5"/>
    <x v="0"/>
    <n v="202"/>
    <x v="70"/>
    <x v="2"/>
    <x v="0"/>
    <x v="0"/>
    <n v="71.78"/>
    <x v="75"/>
  </r>
  <r>
    <s v="U1468"/>
    <x v="6"/>
    <s v="Australia"/>
    <x v="0"/>
    <x v="4"/>
    <n v="402"/>
    <x v="71"/>
    <x v="1"/>
    <x v="0"/>
    <x v="2"/>
    <n v="79.37"/>
    <x v="76"/>
  </r>
  <r>
    <s v="U1469"/>
    <x v="30"/>
    <s v="UK"/>
    <x v="3"/>
    <x v="2"/>
    <n v="50"/>
    <x v="44"/>
    <x v="2"/>
    <x v="1"/>
    <x v="1"/>
    <n v="23.56"/>
    <x v="77"/>
  </r>
  <r>
    <s v="U1471"/>
    <x v="5"/>
    <s v="UK"/>
    <x v="1"/>
    <x v="1"/>
    <n v="112"/>
    <x v="72"/>
    <x v="1"/>
    <x v="0"/>
    <x v="0"/>
    <n v="43.07"/>
    <x v="78"/>
  </r>
  <r>
    <s v="U1483"/>
    <x v="39"/>
    <s v="India"/>
    <x v="3"/>
    <x v="2"/>
    <n v="360"/>
    <x v="73"/>
    <x v="2"/>
    <x v="1"/>
    <x v="2"/>
    <n v="46.14"/>
    <x v="79"/>
  </r>
  <r>
    <s v="U1485"/>
    <x v="4"/>
    <s v="UK"/>
    <x v="5"/>
    <x v="0"/>
    <n v="564"/>
    <x v="74"/>
    <x v="1"/>
    <x v="0"/>
    <x v="0"/>
    <n v="86.18"/>
    <x v="80"/>
  </r>
  <r>
    <s v="U1489"/>
    <x v="26"/>
    <s v="India"/>
    <x v="4"/>
    <x v="5"/>
    <n v="393"/>
    <x v="75"/>
    <x v="2"/>
    <x v="0"/>
    <x v="0"/>
    <n v="19.02"/>
    <x v="81"/>
  </r>
  <r>
    <s v="U1496"/>
    <x v="6"/>
    <s v="UK"/>
    <x v="4"/>
    <x v="5"/>
    <n v="494"/>
    <x v="28"/>
    <x v="4"/>
    <x v="1"/>
    <x v="1"/>
    <n v="43.82"/>
    <x v="82"/>
  </r>
  <r>
    <s v="U1505"/>
    <x v="6"/>
    <s v="USA"/>
    <x v="3"/>
    <x v="5"/>
    <n v="196"/>
    <x v="76"/>
    <x v="0"/>
    <x v="1"/>
    <x v="2"/>
    <n v="69.260000000000005"/>
    <x v="83"/>
  </r>
  <r>
    <s v="U1512"/>
    <x v="14"/>
    <s v="Australia"/>
    <x v="5"/>
    <x v="1"/>
    <n v="190"/>
    <x v="77"/>
    <x v="4"/>
    <x v="1"/>
    <x v="2"/>
    <n v="85.43"/>
    <x v="84"/>
  </r>
  <r>
    <s v="U1513"/>
    <x v="26"/>
    <s v="Australia"/>
    <x v="5"/>
    <x v="0"/>
    <n v="262"/>
    <x v="78"/>
    <x v="2"/>
    <x v="0"/>
    <x v="1"/>
    <n v="49.19"/>
    <x v="85"/>
  </r>
  <r>
    <s v="U1525"/>
    <x v="15"/>
    <s v="Australia"/>
    <x v="1"/>
    <x v="2"/>
    <n v="477"/>
    <x v="58"/>
    <x v="2"/>
    <x v="0"/>
    <x v="2"/>
    <n v="47.47"/>
    <x v="86"/>
  </r>
  <r>
    <s v="U1530"/>
    <x v="8"/>
    <s v="UK"/>
    <x v="5"/>
    <x v="5"/>
    <n v="363"/>
    <x v="79"/>
    <x v="0"/>
    <x v="1"/>
    <x v="0"/>
    <n v="45.97"/>
    <x v="87"/>
  </r>
  <r>
    <s v="U1540"/>
    <x v="23"/>
    <s v="India"/>
    <x v="3"/>
    <x v="0"/>
    <n v="293"/>
    <x v="80"/>
    <x v="2"/>
    <x v="0"/>
    <x v="0"/>
    <n v="81.02"/>
    <x v="88"/>
  </r>
  <r>
    <s v="U1562"/>
    <x v="2"/>
    <s v="UK"/>
    <x v="1"/>
    <x v="5"/>
    <n v="152"/>
    <x v="43"/>
    <x v="0"/>
    <x v="1"/>
    <x v="1"/>
    <n v="40.520000000000003"/>
    <x v="89"/>
  </r>
  <r>
    <s v="U1570"/>
    <x v="18"/>
    <s v="South Korea"/>
    <x v="1"/>
    <x v="1"/>
    <n v="74"/>
    <x v="81"/>
    <x v="4"/>
    <x v="0"/>
    <x v="2"/>
    <n v="71.19"/>
    <x v="90"/>
  </r>
  <r>
    <s v="U1589"/>
    <x v="12"/>
    <s v="India"/>
    <x v="5"/>
    <x v="4"/>
    <n v="253"/>
    <x v="82"/>
    <x v="0"/>
    <x v="1"/>
    <x v="0"/>
    <n v="34.58"/>
    <x v="91"/>
  </r>
  <r>
    <s v="U1592"/>
    <x v="14"/>
    <s v="Australia"/>
    <x v="4"/>
    <x v="4"/>
    <n v="395"/>
    <x v="83"/>
    <x v="3"/>
    <x v="0"/>
    <x v="1"/>
    <n v="31"/>
    <x v="92"/>
  </r>
  <r>
    <s v="U1595"/>
    <x v="38"/>
    <s v="India"/>
    <x v="1"/>
    <x v="0"/>
    <n v="89"/>
    <x v="84"/>
    <x v="2"/>
    <x v="1"/>
    <x v="1"/>
    <n v="72.900000000000006"/>
    <x v="93"/>
  </r>
  <r>
    <s v="U1596"/>
    <x v="40"/>
    <s v="South Korea"/>
    <x v="1"/>
    <x v="0"/>
    <n v="92"/>
    <x v="85"/>
    <x v="2"/>
    <x v="1"/>
    <x v="2"/>
    <n v="16.940000000000001"/>
    <x v="94"/>
  </r>
  <r>
    <s v="U1599"/>
    <x v="40"/>
    <s v="USA"/>
    <x v="3"/>
    <x v="0"/>
    <n v="27"/>
    <x v="86"/>
    <x v="0"/>
    <x v="1"/>
    <x v="2"/>
    <n v="78.87"/>
    <x v="95"/>
  </r>
  <r>
    <s v="U1610"/>
    <x v="31"/>
    <s v="USA"/>
    <x v="4"/>
    <x v="2"/>
    <n v="149"/>
    <x v="63"/>
    <x v="2"/>
    <x v="0"/>
    <x v="0"/>
    <n v="30.74"/>
    <x v="96"/>
  </r>
  <r>
    <s v="U1626"/>
    <x v="36"/>
    <s v="South Korea"/>
    <x v="0"/>
    <x v="4"/>
    <n v="141"/>
    <x v="78"/>
    <x v="0"/>
    <x v="1"/>
    <x v="0"/>
    <n v="86.18"/>
    <x v="97"/>
  </r>
  <r>
    <s v="U1631"/>
    <x v="13"/>
    <s v="South Korea"/>
    <x v="3"/>
    <x v="0"/>
    <n v="10"/>
    <x v="87"/>
    <x v="0"/>
    <x v="0"/>
    <x v="0"/>
    <n v="15"/>
    <x v="98"/>
  </r>
  <r>
    <s v="U1640"/>
    <x v="38"/>
    <s v="USA"/>
    <x v="3"/>
    <x v="2"/>
    <n v="343"/>
    <x v="88"/>
    <x v="1"/>
    <x v="0"/>
    <x v="0"/>
    <n v="37.33"/>
    <x v="99"/>
  </r>
  <r>
    <s v="U1647"/>
    <x v="12"/>
    <s v="UK"/>
    <x v="5"/>
    <x v="1"/>
    <n v="47"/>
    <x v="89"/>
    <x v="2"/>
    <x v="0"/>
    <x v="1"/>
    <n v="36.26"/>
    <x v="100"/>
  </r>
  <r>
    <s v="U1652"/>
    <x v="15"/>
    <s v="UK"/>
    <x v="1"/>
    <x v="0"/>
    <n v="395"/>
    <x v="90"/>
    <x v="0"/>
    <x v="1"/>
    <x v="0"/>
    <n v="26.86"/>
    <x v="101"/>
  </r>
  <r>
    <s v="U1653"/>
    <x v="27"/>
    <s v="Australia"/>
    <x v="1"/>
    <x v="4"/>
    <n v="176"/>
    <x v="91"/>
    <x v="3"/>
    <x v="1"/>
    <x v="2"/>
    <n v="76.86"/>
    <x v="102"/>
  </r>
  <r>
    <s v="U1654"/>
    <x v="41"/>
    <s v="South Korea"/>
    <x v="3"/>
    <x v="1"/>
    <n v="307"/>
    <x v="92"/>
    <x v="0"/>
    <x v="0"/>
    <x v="0"/>
    <n v="42.49"/>
    <x v="103"/>
  </r>
  <r>
    <s v="U1662"/>
    <x v="24"/>
    <s v="South Korea"/>
    <x v="1"/>
    <x v="0"/>
    <n v="314"/>
    <x v="93"/>
    <x v="3"/>
    <x v="0"/>
    <x v="1"/>
    <n v="72.89"/>
    <x v="104"/>
  </r>
  <r>
    <s v="U1666"/>
    <x v="42"/>
    <s v="UK"/>
    <x v="3"/>
    <x v="3"/>
    <n v="234"/>
    <x v="94"/>
    <x v="2"/>
    <x v="1"/>
    <x v="0"/>
    <n v="29.75"/>
    <x v="105"/>
  </r>
  <r>
    <s v="U1668"/>
    <x v="43"/>
    <s v="South Korea"/>
    <x v="4"/>
    <x v="5"/>
    <n v="503"/>
    <x v="95"/>
    <x v="0"/>
    <x v="0"/>
    <x v="2"/>
    <n v="61.38"/>
    <x v="106"/>
  </r>
  <r>
    <s v="U1690"/>
    <x v="10"/>
    <s v="USA"/>
    <x v="1"/>
    <x v="3"/>
    <n v="483"/>
    <x v="96"/>
    <x v="4"/>
    <x v="1"/>
    <x v="2"/>
    <n v="33.94"/>
    <x v="107"/>
  </r>
  <r>
    <s v="U1697"/>
    <x v="36"/>
    <s v="USA"/>
    <x v="4"/>
    <x v="0"/>
    <n v="34"/>
    <x v="97"/>
    <x v="1"/>
    <x v="1"/>
    <x v="2"/>
    <n v="23.3"/>
    <x v="108"/>
  </r>
  <r>
    <s v="U1707"/>
    <x v="19"/>
    <s v="South Korea"/>
    <x v="2"/>
    <x v="4"/>
    <n v="575"/>
    <x v="98"/>
    <x v="0"/>
    <x v="0"/>
    <x v="0"/>
    <n v="33.299999999999997"/>
    <x v="109"/>
  </r>
  <r>
    <s v="U1723"/>
    <x v="13"/>
    <s v="USA"/>
    <x v="4"/>
    <x v="3"/>
    <n v="112"/>
    <x v="99"/>
    <x v="3"/>
    <x v="0"/>
    <x v="1"/>
    <n v="72.27"/>
    <x v="110"/>
  </r>
  <r>
    <s v="U1726"/>
    <x v="44"/>
    <s v="Australia"/>
    <x v="5"/>
    <x v="1"/>
    <n v="112"/>
    <x v="100"/>
    <x v="4"/>
    <x v="1"/>
    <x v="0"/>
    <n v="88.11"/>
    <x v="111"/>
  </r>
  <r>
    <s v="U1734"/>
    <x v="2"/>
    <s v="Australia"/>
    <x v="1"/>
    <x v="4"/>
    <n v="465"/>
    <x v="101"/>
    <x v="2"/>
    <x v="1"/>
    <x v="1"/>
    <n v="33.74"/>
    <x v="112"/>
  </r>
  <r>
    <s v="U1740"/>
    <x v="14"/>
    <s v="UK"/>
    <x v="3"/>
    <x v="1"/>
    <n v="467"/>
    <x v="102"/>
    <x v="2"/>
    <x v="0"/>
    <x v="0"/>
    <n v="60.42"/>
    <x v="113"/>
  </r>
  <r>
    <s v="U1741"/>
    <x v="8"/>
    <s v="UK"/>
    <x v="3"/>
    <x v="0"/>
    <n v="398"/>
    <x v="103"/>
    <x v="2"/>
    <x v="0"/>
    <x v="2"/>
    <n v="49.61"/>
    <x v="114"/>
  </r>
  <r>
    <s v="U1746"/>
    <x v="24"/>
    <s v="USA"/>
    <x v="4"/>
    <x v="0"/>
    <n v="294"/>
    <x v="104"/>
    <x v="1"/>
    <x v="1"/>
    <x v="0"/>
    <n v="65.33"/>
    <x v="115"/>
  </r>
  <r>
    <s v="U1759"/>
    <x v="18"/>
    <s v="South Korea"/>
    <x v="3"/>
    <x v="1"/>
    <n v="385"/>
    <x v="105"/>
    <x v="2"/>
    <x v="1"/>
    <x v="2"/>
    <n v="62.8"/>
    <x v="116"/>
  </r>
  <r>
    <s v="U1783"/>
    <x v="45"/>
    <s v="UK"/>
    <x v="1"/>
    <x v="0"/>
    <n v="18"/>
    <x v="59"/>
    <x v="4"/>
    <x v="0"/>
    <x v="0"/>
    <n v="57.83"/>
    <x v="117"/>
  </r>
  <r>
    <s v="U1795"/>
    <x v="45"/>
    <s v="South Korea"/>
    <x v="1"/>
    <x v="1"/>
    <n v="372"/>
    <x v="106"/>
    <x v="2"/>
    <x v="0"/>
    <x v="0"/>
    <n v="84.8"/>
    <x v="118"/>
  </r>
  <r>
    <s v="U1797"/>
    <x v="1"/>
    <s v="South Korea"/>
    <x v="4"/>
    <x v="2"/>
    <n v="400"/>
    <x v="107"/>
    <x v="0"/>
    <x v="1"/>
    <x v="0"/>
    <n v="72.989999999999995"/>
    <x v="119"/>
  </r>
  <r>
    <s v="U1799"/>
    <x v="3"/>
    <s v="Australia"/>
    <x v="0"/>
    <x v="5"/>
    <n v="473"/>
    <x v="43"/>
    <x v="4"/>
    <x v="0"/>
    <x v="1"/>
    <n v="11.26"/>
    <x v="120"/>
  </r>
  <r>
    <s v="U1803"/>
    <x v="7"/>
    <s v="Australia"/>
    <x v="0"/>
    <x v="2"/>
    <n v="396"/>
    <x v="108"/>
    <x v="0"/>
    <x v="1"/>
    <x v="2"/>
    <n v="16.11"/>
    <x v="121"/>
  </r>
  <r>
    <s v="U1804"/>
    <x v="14"/>
    <s v="USA"/>
    <x v="4"/>
    <x v="4"/>
    <n v="200"/>
    <x v="109"/>
    <x v="1"/>
    <x v="1"/>
    <x v="0"/>
    <n v="80.44"/>
    <x v="122"/>
  </r>
  <r>
    <s v="U1817"/>
    <x v="7"/>
    <s v="South Korea"/>
    <x v="3"/>
    <x v="1"/>
    <n v="479"/>
    <x v="110"/>
    <x v="3"/>
    <x v="1"/>
    <x v="0"/>
    <n v="39.880000000000003"/>
    <x v="123"/>
  </r>
  <r>
    <s v="U1823"/>
    <x v="30"/>
    <s v="UK"/>
    <x v="1"/>
    <x v="3"/>
    <n v="594"/>
    <x v="111"/>
    <x v="3"/>
    <x v="1"/>
    <x v="2"/>
    <n v="27.72"/>
    <x v="124"/>
  </r>
  <r>
    <s v="U1848"/>
    <x v="46"/>
    <s v="South Korea"/>
    <x v="2"/>
    <x v="5"/>
    <n v="590"/>
    <x v="9"/>
    <x v="4"/>
    <x v="1"/>
    <x v="2"/>
    <n v="27.74"/>
    <x v="125"/>
  </r>
  <r>
    <s v="U1849"/>
    <x v="3"/>
    <s v="UK"/>
    <x v="1"/>
    <x v="4"/>
    <n v="382"/>
    <x v="112"/>
    <x v="3"/>
    <x v="0"/>
    <x v="0"/>
    <n v="48.03"/>
    <x v="126"/>
  </r>
  <r>
    <s v="U1873"/>
    <x v="0"/>
    <s v="Australia"/>
    <x v="5"/>
    <x v="4"/>
    <n v="409"/>
    <x v="112"/>
    <x v="0"/>
    <x v="1"/>
    <x v="2"/>
    <n v="72.8"/>
    <x v="127"/>
  </r>
  <r>
    <s v="U1879"/>
    <x v="20"/>
    <s v="India"/>
    <x v="2"/>
    <x v="3"/>
    <n v="227"/>
    <x v="18"/>
    <x v="2"/>
    <x v="1"/>
    <x v="2"/>
    <n v="30.05"/>
    <x v="128"/>
  </r>
  <r>
    <s v="U1883"/>
    <x v="41"/>
    <s v="Australia"/>
    <x v="0"/>
    <x v="5"/>
    <n v="210"/>
    <x v="113"/>
    <x v="4"/>
    <x v="1"/>
    <x v="0"/>
    <n v="56.66"/>
    <x v="129"/>
  </r>
  <r>
    <s v="U1887"/>
    <x v="13"/>
    <s v="South Korea"/>
    <x v="5"/>
    <x v="2"/>
    <n v="27"/>
    <x v="114"/>
    <x v="0"/>
    <x v="0"/>
    <x v="2"/>
    <n v="69.34"/>
    <x v="130"/>
  </r>
  <r>
    <s v="U1911"/>
    <x v="16"/>
    <s v="India"/>
    <x v="1"/>
    <x v="4"/>
    <n v="25"/>
    <x v="115"/>
    <x v="3"/>
    <x v="0"/>
    <x v="0"/>
    <n v="68.459999999999994"/>
    <x v="131"/>
  </r>
  <r>
    <s v="U1924"/>
    <x v="37"/>
    <s v="South Korea"/>
    <x v="5"/>
    <x v="4"/>
    <n v="522"/>
    <x v="115"/>
    <x v="0"/>
    <x v="0"/>
    <x v="2"/>
    <n v="62.49"/>
    <x v="132"/>
  </r>
  <r>
    <s v="U1925"/>
    <x v="11"/>
    <s v="UK"/>
    <x v="1"/>
    <x v="4"/>
    <n v="437"/>
    <x v="116"/>
    <x v="2"/>
    <x v="1"/>
    <x v="0"/>
    <n v="12.11"/>
    <x v="133"/>
  </r>
  <r>
    <s v="U1930"/>
    <x v="3"/>
    <s v="USA"/>
    <x v="5"/>
    <x v="4"/>
    <n v="82"/>
    <x v="117"/>
    <x v="1"/>
    <x v="1"/>
    <x v="1"/>
    <n v="24.29"/>
    <x v="134"/>
  </r>
  <r>
    <s v="U1931"/>
    <x v="8"/>
    <s v="India"/>
    <x v="3"/>
    <x v="3"/>
    <n v="147"/>
    <x v="118"/>
    <x v="2"/>
    <x v="1"/>
    <x v="0"/>
    <n v="33.83"/>
    <x v="135"/>
  </r>
  <r>
    <s v="U1934"/>
    <x v="32"/>
    <s v="India"/>
    <x v="5"/>
    <x v="0"/>
    <n v="232"/>
    <x v="100"/>
    <x v="0"/>
    <x v="1"/>
    <x v="1"/>
    <n v="49.76"/>
    <x v="136"/>
  </r>
  <r>
    <s v="U1943"/>
    <x v="29"/>
    <s v="UK"/>
    <x v="4"/>
    <x v="3"/>
    <n v="110"/>
    <x v="56"/>
    <x v="2"/>
    <x v="1"/>
    <x v="0"/>
    <n v="24.47"/>
    <x v="137"/>
  </r>
  <r>
    <s v="U1944"/>
    <x v="12"/>
    <s v="UK"/>
    <x v="3"/>
    <x v="4"/>
    <n v="277"/>
    <x v="119"/>
    <x v="4"/>
    <x v="1"/>
    <x v="0"/>
    <n v="80.040000000000006"/>
    <x v="138"/>
  </r>
  <r>
    <s v="U1945"/>
    <x v="16"/>
    <s v="India"/>
    <x v="4"/>
    <x v="5"/>
    <n v="122"/>
    <x v="120"/>
    <x v="0"/>
    <x v="0"/>
    <x v="1"/>
    <n v="55.82"/>
    <x v="139"/>
  </r>
  <r>
    <s v="U1948"/>
    <x v="23"/>
    <s v="South Korea"/>
    <x v="1"/>
    <x v="0"/>
    <n v="210"/>
    <x v="121"/>
    <x v="2"/>
    <x v="0"/>
    <x v="0"/>
    <n v="45.57"/>
    <x v="140"/>
  </r>
  <r>
    <s v="U1949"/>
    <x v="25"/>
    <s v="India"/>
    <x v="3"/>
    <x v="4"/>
    <n v="294"/>
    <x v="122"/>
    <x v="1"/>
    <x v="0"/>
    <x v="2"/>
    <n v="78.2"/>
    <x v="141"/>
  </r>
  <r>
    <s v="U1951"/>
    <x v="20"/>
    <s v="UK"/>
    <x v="2"/>
    <x v="4"/>
    <n v="408"/>
    <x v="123"/>
    <x v="1"/>
    <x v="1"/>
    <x v="1"/>
    <n v="11.3"/>
    <x v="142"/>
  </r>
  <r>
    <s v="U1954"/>
    <x v="13"/>
    <s v="UK"/>
    <x v="3"/>
    <x v="0"/>
    <n v="153"/>
    <x v="124"/>
    <x v="4"/>
    <x v="1"/>
    <x v="1"/>
    <n v="57.5"/>
    <x v="143"/>
  </r>
  <r>
    <s v="U1957"/>
    <x v="25"/>
    <s v="South Korea"/>
    <x v="0"/>
    <x v="5"/>
    <n v="484"/>
    <x v="91"/>
    <x v="1"/>
    <x v="0"/>
    <x v="1"/>
    <n v="87.65"/>
    <x v="144"/>
  </r>
  <r>
    <s v="U1966"/>
    <x v="41"/>
    <s v="Australia"/>
    <x v="4"/>
    <x v="4"/>
    <n v="574"/>
    <x v="125"/>
    <x v="1"/>
    <x v="1"/>
    <x v="1"/>
    <n v="20.059999999999999"/>
    <x v="145"/>
  </r>
  <r>
    <s v="U1972"/>
    <x v="10"/>
    <s v="USA"/>
    <x v="3"/>
    <x v="1"/>
    <n v="454"/>
    <x v="126"/>
    <x v="0"/>
    <x v="1"/>
    <x v="0"/>
    <n v="84.48"/>
    <x v="146"/>
  </r>
  <r>
    <s v="U1974"/>
    <x v="29"/>
    <s v="USA"/>
    <x v="5"/>
    <x v="5"/>
    <n v="130"/>
    <x v="127"/>
    <x v="0"/>
    <x v="0"/>
    <x v="1"/>
    <n v="54.79"/>
    <x v="147"/>
  </r>
  <r>
    <s v="U1980"/>
    <x v="47"/>
    <s v="India"/>
    <x v="4"/>
    <x v="3"/>
    <n v="183"/>
    <x v="39"/>
    <x v="4"/>
    <x v="0"/>
    <x v="0"/>
    <n v="35.340000000000003"/>
    <x v="148"/>
  </r>
  <r>
    <s v="U1981"/>
    <x v="15"/>
    <s v="India"/>
    <x v="2"/>
    <x v="0"/>
    <n v="198"/>
    <x v="128"/>
    <x v="0"/>
    <x v="1"/>
    <x v="1"/>
    <n v="34.659999999999997"/>
    <x v="149"/>
  </r>
  <r>
    <s v="U1982"/>
    <x v="5"/>
    <s v="South Korea"/>
    <x v="1"/>
    <x v="1"/>
    <n v="464"/>
    <x v="129"/>
    <x v="4"/>
    <x v="1"/>
    <x v="0"/>
    <n v="85.99"/>
    <x v="150"/>
  </r>
  <r>
    <s v="U1988"/>
    <x v="45"/>
    <s v="USA"/>
    <x v="1"/>
    <x v="1"/>
    <n v="75"/>
    <x v="7"/>
    <x v="1"/>
    <x v="1"/>
    <x v="0"/>
    <n v="81.77"/>
    <x v="151"/>
  </r>
  <r>
    <s v="U1991"/>
    <x v="46"/>
    <s v="USA"/>
    <x v="2"/>
    <x v="1"/>
    <n v="80"/>
    <x v="130"/>
    <x v="1"/>
    <x v="1"/>
    <x v="1"/>
    <n v="60.83"/>
    <x v="152"/>
  </r>
  <r>
    <s v="U1997"/>
    <x v="42"/>
    <s v="UK"/>
    <x v="5"/>
    <x v="1"/>
    <n v="39"/>
    <x v="45"/>
    <x v="0"/>
    <x v="1"/>
    <x v="0"/>
    <n v="68.11"/>
    <x v="153"/>
  </r>
  <r>
    <s v="U2001"/>
    <x v="46"/>
    <s v="India"/>
    <x v="0"/>
    <x v="4"/>
    <n v="445"/>
    <x v="23"/>
    <x v="2"/>
    <x v="0"/>
    <x v="1"/>
    <n v="17.87"/>
    <x v="154"/>
  </r>
  <r>
    <s v="U2003"/>
    <x v="29"/>
    <s v="South Korea"/>
    <x v="0"/>
    <x v="5"/>
    <n v="232"/>
    <x v="23"/>
    <x v="1"/>
    <x v="0"/>
    <x v="2"/>
    <n v="35.31"/>
    <x v="155"/>
  </r>
  <r>
    <s v="U2005"/>
    <x v="4"/>
    <s v="India"/>
    <x v="5"/>
    <x v="2"/>
    <n v="387"/>
    <x v="53"/>
    <x v="1"/>
    <x v="0"/>
    <x v="0"/>
    <n v="69.010000000000005"/>
    <x v="156"/>
  </r>
  <r>
    <s v="U2008"/>
    <x v="0"/>
    <s v="South Korea"/>
    <x v="5"/>
    <x v="3"/>
    <n v="296"/>
    <x v="131"/>
    <x v="0"/>
    <x v="1"/>
    <x v="1"/>
    <n v="31.46"/>
    <x v="157"/>
  </r>
  <r>
    <s v="U2020"/>
    <x v="44"/>
    <s v="South Korea"/>
    <x v="5"/>
    <x v="4"/>
    <n v="354"/>
    <x v="132"/>
    <x v="0"/>
    <x v="1"/>
    <x v="0"/>
    <n v="51.18"/>
    <x v="158"/>
  </r>
  <r>
    <s v="U2026"/>
    <x v="2"/>
    <s v="USA"/>
    <x v="3"/>
    <x v="4"/>
    <n v="552"/>
    <x v="79"/>
    <x v="2"/>
    <x v="0"/>
    <x v="1"/>
    <n v="67.33"/>
    <x v="159"/>
  </r>
  <r>
    <s v="U2051"/>
    <x v="42"/>
    <s v="UK"/>
    <x v="3"/>
    <x v="4"/>
    <n v="340"/>
    <x v="133"/>
    <x v="2"/>
    <x v="0"/>
    <x v="0"/>
    <n v="84.14"/>
    <x v="160"/>
  </r>
  <r>
    <s v="U2053"/>
    <x v="32"/>
    <s v="South Korea"/>
    <x v="2"/>
    <x v="3"/>
    <n v="316"/>
    <x v="134"/>
    <x v="2"/>
    <x v="0"/>
    <x v="0"/>
    <n v="26.22"/>
    <x v="161"/>
  </r>
  <r>
    <s v="U2054"/>
    <x v="36"/>
    <s v="India"/>
    <x v="0"/>
    <x v="4"/>
    <n v="10"/>
    <x v="135"/>
    <x v="3"/>
    <x v="0"/>
    <x v="1"/>
    <n v="84.4"/>
    <x v="162"/>
  </r>
  <r>
    <s v="U2056"/>
    <x v="31"/>
    <s v="USA"/>
    <x v="3"/>
    <x v="5"/>
    <n v="460"/>
    <x v="136"/>
    <x v="0"/>
    <x v="1"/>
    <x v="2"/>
    <n v="89.39"/>
    <x v="52"/>
  </r>
  <r>
    <s v="U2061"/>
    <x v="33"/>
    <s v="USA"/>
    <x v="2"/>
    <x v="1"/>
    <n v="414"/>
    <x v="137"/>
    <x v="4"/>
    <x v="1"/>
    <x v="2"/>
    <n v="60.49"/>
    <x v="163"/>
  </r>
  <r>
    <s v="U2065"/>
    <x v="22"/>
    <s v="Australia"/>
    <x v="1"/>
    <x v="2"/>
    <n v="119"/>
    <x v="138"/>
    <x v="1"/>
    <x v="0"/>
    <x v="0"/>
    <n v="71.37"/>
    <x v="164"/>
  </r>
  <r>
    <s v="U2067"/>
    <x v="31"/>
    <s v="Australia"/>
    <x v="2"/>
    <x v="2"/>
    <n v="590"/>
    <x v="30"/>
    <x v="2"/>
    <x v="1"/>
    <x v="0"/>
    <n v="46.96"/>
    <x v="165"/>
  </r>
  <r>
    <s v="U2084"/>
    <x v="31"/>
    <s v="India"/>
    <x v="3"/>
    <x v="1"/>
    <n v="160"/>
    <x v="139"/>
    <x v="1"/>
    <x v="0"/>
    <x v="0"/>
    <n v="55.13"/>
    <x v="166"/>
  </r>
  <r>
    <s v="U2086"/>
    <x v="39"/>
    <s v="Australia"/>
    <x v="0"/>
    <x v="5"/>
    <n v="130"/>
    <x v="140"/>
    <x v="1"/>
    <x v="0"/>
    <x v="0"/>
    <n v="55.98"/>
    <x v="167"/>
  </r>
  <r>
    <s v="U2101"/>
    <x v="0"/>
    <s v="India"/>
    <x v="4"/>
    <x v="0"/>
    <n v="424"/>
    <x v="141"/>
    <x v="0"/>
    <x v="0"/>
    <x v="0"/>
    <n v="48.88"/>
    <x v="168"/>
  </r>
  <r>
    <s v="U2107"/>
    <x v="38"/>
    <s v="India"/>
    <x v="0"/>
    <x v="0"/>
    <n v="352"/>
    <x v="142"/>
    <x v="4"/>
    <x v="1"/>
    <x v="1"/>
    <n v="46.16"/>
    <x v="169"/>
  </r>
  <r>
    <s v="U2117"/>
    <x v="44"/>
    <s v="Australia"/>
    <x v="2"/>
    <x v="5"/>
    <n v="66"/>
    <x v="111"/>
    <x v="1"/>
    <x v="0"/>
    <x v="0"/>
    <n v="12.02"/>
    <x v="170"/>
  </r>
  <r>
    <s v="U2119"/>
    <x v="11"/>
    <s v="UK"/>
    <x v="5"/>
    <x v="4"/>
    <n v="35"/>
    <x v="143"/>
    <x v="4"/>
    <x v="0"/>
    <x v="1"/>
    <n v="26.33"/>
    <x v="171"/>
  </r>
  <r>
    <s v="U2120"/>
    <x v="16"/>
    <s v="South Korea"/>
    <x v="0"/>
    <x v="3"/>
    <n v="554"/>
    <x v="131"/>
    <x v="2"/>
    <x v="0"/>
    <x v="1"/>
    <n v="39.67"/>
    <x v="172"/>
  </r>
  <r>
    <s v="U2134"/>
    <x v="18"/>
    <s v="India"/>
    <x v="2"/>
    <x v="5"/>
    <n v="401"/>
    <x v="144"/>
    <x v="0"/>
    <x v="0"/>
    <x v="1"/>
    <n v="77.83"/>
    <x v="173"/>
  </r>
  <r>
    <s v="U2135"/>
    <x v="10"/>
    <s v="South Korea"/>
    <x v="2"/>
    <x v="2"/>
    <n v="588"/>
    <x v="145"/>
    <x v="3"/>
    <x v="0"/>
    <x v="2"/>
    <n v="40.17"/>
    <x v="174"/>
  </r>
  <r>
    <s v="U2142"/>
    <x v="38"/>
    <s v="South Korea"/>
    <x v="1"/>
    <x v="0"/>
    <n v="10"/>
    <x v="146"/>
    <x v="2"/>
    <x v="0"/>
    <x v="1"/>
    <n v="76.790000000000006"/>
    <x v="175"/>
  </r>
  <r>
    <s v="U2145"/>
    <x v="28"/>
    <s v="India"/>
    <x v="4"/>
    <x v="2"/>
    <n v="433"/>
    <x v="147"/>
    <x v="0"/>
    <x v="0"/>
    <x v="2"/>
    <n v="12.17"/>
    <x v="176"/>
  </r>
  <r>
    <s v="U2155"/>
    <x v="12"/>
    <s v="India"/>
    <x v="1"/>
    <x v="3"/>
    <n v="424"/>
    <x v="148"/>
    <x v="0"/>
    <x v="1"/>
    <x v="2"/>
    <n v="47.09"/>
    <x v="177"/>
  </r>
  <r>
    <s v="U2161"/>
    <x v="40"/>
    <s v="South Korea"/>
    <x v="3"/>
    <x v="0"/>
    <n v="346"/>
    <x v="149"/>
    <x v="4"/>
    <x v="0"/>
    <x v="0"/>
    <n v="10.55"/>
    <x v="178"/>
  </r>
  <r>
    <s v="U2176"/>
    <x v="43"/>
    <s v="India"/>
    <x v="5"/>
    <x v="5"/>
    <n v="493"/>
    <x v="150"/>
    <x v="3"/>
    <x v="0"/>
    <x v="0"/>
    <n v="46.76"/>
    <x v="179"/>
  </r>
  <r>
    <s v="U2177"/>
    <x v="33"/>
    <s v="India"/>
    <x v="1"/>
    <x v="5"/>
    <n v="355"/>
    <x v="151"/>
    <x v="1"/>
    <x v="0"/>
    <x v="1"/>
    <n v="35.409999999999997"/>
    <x v="13"/>
  </r>
  <r>
    <s v="U2190"/>
    <x v="45"/>
    <s v="USA"/>
    <x v="1"/>
    <x v="3"/>
    <n v="545"/>
    <x v="152"/>
    <x v="4"/>
    <x v="1"/>
    <x v="1"/>
    <n v="50.97"/>
    <x v="180"/>
  </r>
  <r>
    <s v="U2192"/>
    <x v="12"/>
    <s v="South Korea"/>
    <x v="4"/>
    <x v="3"/>
    <n v="484"/>
    <x v="153"/>
    <x v="1"/>
    <x v="1"/>
    <x v="1"/>
    <n v="18.170000000000002"/>
    <x v="181"/>
  </r>
  <r>
    <s v="U2201"/>
    <x v="46"/>
    <s v="South Korea"/>
    <x v="4"/>
    <x v="1"/>
    <n v="496"/>
    <x v="154"/>
    <x v="2"/>
    <x v="0"/>
    <x v="2"/>
    <n v="70.239999999999995"/>
    <x v="182"/>
  </r>
  <r>
    <s v="U2204"/>
    <x v="25"/>
    <s v="South Korea"/>
    <x v="5"/>
    <x v="3"/>
    <n v="374"/>
    <x v="93"/>
    <x v="1"/>
    <x v="1"/>
    <x v="2"/>
    <n v="11.2"/>
    <x v="183"/>
  </r>
  <r>
    <s v="U2218"/>
    <x v="10"/>
    <s v="UK"/>
    <x v="0"/>
    <x v="4"/>
    <n v="14"/>
    <x v="124"/>
    <x v="1"/>
    <x v="1"/>
    <x v="2"/>
    <n v="79.41"/>
    <x v="184"/>
  </r>
  <r>
    <s v="U2220"/>
    <x v="27"/>
    <s v="USA"/>
    <x v="5"/>
    <x v="2"/>
    <n v="155"/>
    <x v="155"/>
    <x v="4"/>
    <x v="1"/>
    <x v="0"/>
    <n v="77.959999999999994"/>
    <x v="185"/>
  </r>
  <r>
    <s v="U2223"/>
    <x v="1"/>
    <s v="South Korea"/>
    <x v="5"/>
    <x v="5"/>
    <n v="175"/>
    <x v="156"/>
    <x v="2"/>
    <x v="0"/>
    <x v="0"/>
    <n v="53.68"/>
    <x v="186"/>
  </r>
  <r>
    <s v="U2226"/>
    <x v="23"/>
    <s v="Australia"/>
    <x v="0"/>
    <x v="4"/>
    <n v="265"/>
    <x v="99"/>
    <x v="1"/>
    <x v="1"/>
    <x v="2"/>
    <n v="28.72"/>
    <x v="187"/>
  </r>
  <r>
    <s v="U2236"/>
    <x v="44"/>
    <s v="India"/>
    <x v="5"/>
    <x v="1"/>
    <n v="567"/>
    <x v="13"/>
    <x v="2"/>
    <x v="0"/>
    <x v="1"/>
    <n v="34.549999999999997"/>
    <x v="188"/>
  </r>
  <r>
    <s v="U2243"/>
    <x v="24"/>
    <s v="UK"/>
    <x v="2"/>
    <x v="0"/>
    <n v="80"/>
    <x v="157"/>
    <x v="4"/>
    <x v="1"/>
    <x v="1"/>
    <n v="55.7"/>
    <x v="189"/>
  </r>
  <r>
    <s v="U2254"/>
    <x v="21"/>
    <s v="India"/>
    <x v="1"/>
    <x v="4"/>
    <n v="203"/>
    <x v="158"/>
    <x v="0"/>
    <x v="0"/>
    <x v="0"/>
    <n v="19.8"/>
    <x v="190"/>
  </r>
  <r>
    <s v="U2255"/>
    <x v="21"/>
    <s v="Australia"/>
    <x v="2"/>
    <x v="1"/>
    <n v="56"/>
    <x v="159"/>
    <x v="2"/>
    <x v="0"/>
    <x v="2"/>
    <n v="68.319999999999993"/>
    <x v="191"/>
  </r>
  <r>
    <s v="U2272"/>
    <x v="28"/>
    <s v="UK"/>
    <x v="1"/>
    <x v="5"/>
    <n v="135"/>
    <x v="160"/>
    <x v="3"/>
    <x v="0"/>
    <x v="0"/>
    <n v="71.98"/>
    <x v="192"/>
  </r>
  <r>
    <s v="U2273"/>
    <x v="26"/>
    <s v="South Korea"/>
    <x v="0"/>
    <x v="5"/>
    <n v="583"/>
    <x v="161"/>
    <x v="1"/>
    <x v="1"/>
    <x v="2"/>
    <n v="33.53"/>
    <x v="193"/>
  </r>
  <r>
    <s v="U2290"/>
    <x v="21"/>
    <s v="South Korea"/>
    <x v="5"/>
    <x v="2"/>
    <n v="171"/>
    <x v="109"/>
    <x v="4"/>
    <x v="0"/>
    <x v="0"/>
    <n v="73.84"/>
    <x v="194"/>
  </r>
  <r>
    <s v="U2295"/>
    <x v="24"/>
    <s v="India"/>
    <x v="5"/>
    <x v="4"/>
    <n v="144"/>
    <x v="162"/>
    <x v="0"/>
    <x v="0"/>
    <x v="1"/>
    <n v="18.34"/>
    <x v="195"/>
  </r>
  <r>
    <s v="U2296"/>
    <x v="18"/>
    <s v="India"/>
    <x v="0"/>
    <x v="1"/>
    <n v="480"/>
    <x v="88"/>
    <x v="1"/>
    <x v="1"/>
    <x v="2"/>
    <n v="16.23"/>
    <x v="196"/>
  </r>
  <r>
    <s v="U2301"/>
    <x v="26"/>
    <s v="UK"/>
    <x v="1"/>
    <x v="5"/>
    <n v="558"/>
    <x v="163"/>
    <x v="4"/>
    <x v="0"/>
    <x v="2"/>
    <n v="36.5"/>
    <x v="197"/>
  </r>
  <r>
    <s v="U2303"/>
    <x v="36"/>
    <s v="India"/>
    <x v="1"/>
    <x v="5"/>
    <n v="435"/>
    <x v="164"/>
    <x v="4"/>
    <x v="0"/>
    <x v="0"/>
    <n v="72.48"/>
    <x v="198"/>
  </r>
  <r>
    <s v="U2311"/>
    <x v="4"/>
    <s v="UK"/>
    <x v="1"/>
    <x v="1"/>
    <n v="12"/>
    <x v="165"/>
    <x v="1"/>
    <x v="0"/>
    <x v="0"/>
    <n v="58.15"/>
    <x v="199"/>
  </r>
  <r>
    <s v="U2320"/>
    <x v="13"/>
    <s v="South Korea"/>
    <x v="5"/>
    <x v="2"/>
    <n v="154"/>
    <x v="166"/>
    <x v="2"/>
    <x v="1"/>
    <x v="1"/>
    <n v="33.24"/>
    <x v="200"/>
  </r>
  <r>
    <s v="U2322"/>
    <x v="22"/>
    <s v="South Korea"/>
    <x v="4"/>
    <x v="2"/>
    <n v="339"/>
    <x v="167"/>
    <x v="3"/>
    <x v="0"/>
    <x v="1"/>
    <n v="52.37"/>
    <x v="201"/>
  </r>
  <r>
    <s v="U2323"/>
    <x v="22"/>
    <s v="Australia"/>
    <x v="4"/>
    <x v="2"/>
    <n v="404"/>
    <x v="168"/>
    <x v="1"/>
    <x v="0"/>
    <x v="0"/>
    <n v="47.08"/>
    <x v="202"/>
  </r>
  <r>
    <s v="U2324"/>
    <x v="12"/>
    <s v="UK"/>
    <x v="5"/>
    <x v="4"/>
    <n v="553"/>
    <x v="119"/>
    <x v="4"/>
    <x v="0"/>
    <x v="1"/>
    <n v="65.48"/>
    <x v="203"/>
  </r>
  <r>
    <s v="U2326"/>
    <x v="42"/>
    <s v="India"/>
    <x v="0"/>
    <x v="2"/>
    <n v="310"/>
    <x v="106"/>
    <x v="1"/>
    <x v="1"/>
    <x v="0"/>
    <n v="87.1"/>
    <x v="204"/>
  </r>
  <r>
    <s v="U2333"/>
    <x v="43"/>
    <s v="South Korea"/>
    <x v="0"/>
    <x v="4"/>
    <n v="243"/>
    <x v="169"/>
    <x v="0"/>
    <x v="0"/>
    <x v="1"/>
    <n v="37.69"/>
    <x v="205"/>
  </r>
  <r>
    <s v="U2349"/>
    <x v="3"/>
    <s v="South Korea"/>
    <x v="1"/>
    <x v="4"/>
    <n v="517"/>
    <x v="170"/>
    <x v="4"/>
    <x v="1"/>
    <x v="0"/>
    <n v="15.9"/>
    <x v="206"/>
  </r>
  <r>
    <s v="U2350"/>
    <x v="21"/>
    <s v="UK"/>
    <x v="3"/>
    <x v="0"/>
    <n v="97"/>
    <x v="171"/>
    <x v="0"/>
    <x v="1"/>
    <x v="0"/>
    <n v="40.31"/>
    <x v="207"/>
  </r>
  <r>
    <s v="U2358"/>
    <x v="5"/>
    <s v="UK"/>
    <x v="0"/>
    <x v="2"/>
    <n v="428"/>
    <x v="95"/>
    <x v="4"/>
    <x v="0"/>
    <x v="2"/>
    <n v="21.66"/>
    <x v="208"/>
  </r>
  <r>
    <s v="U2359"/>
    <x v="8"/>
    <s v="South Korea"/>
    <x v="5"/>
    <x v="4"/>
    <n v="425"/>
    <x v="172"/>
    <x v="1"/>
    <x v="0"/>
    <x v="0"/>
    <n v="73.91"/>
    <x v="209"/>
  </r>
  <r>
    <s v="U2363"/>
    <x v="17"/>
    <s v="Australia"/>
    <x v="1"/>
    <x v="4"/>
    <n v="402"/>
    <x v="173"/>
    <x v="1"/>
    <x v="1"/>
    <x v="2"/>
    <n v="89.04"/>
    <x v="210"/>
  </r>
  <r>
    <s v="U2364"/>
    <x v="42"/>
    <s v="Australia"/>
    <x v="4"/>
    <x v="4"/>
    <n v="442"/>
    <x v="19"/>
    <x v="2"/>
    <x v="1"/>
    <x v="1"/>
    <n v="38.479999999999997"/>
    <x v="211"/>
  </r>
  <r>
    <s v="U2366"/>
    <x v="29"/>
    <s v="South Korea"/>
    <x v="4"/>
    <x v="0"/>
    <n v="146"/>
    <x v="48"/>
    <x v="1"/>
    <x v="0"/>
    <x v="1"/>
    <n v="47.31"/>
    <x v="212"/>
  </r>
  <r>
    <s v="U2372"/>
    <x v="16"/>
    <s v="India"/>
    <x v="3"/>
    <x v="5"/>
    <n v="358"/>
    <x v="174"/>
    <x v="3"/>
    <x v="1"/>
    <x v="0"/>
    <n v="59.1"/>
    <x v="213"/>
  </r>
  <r>
    <s v="U2376"/>
    <x v="39"/>
    <s v="UK"/>
    <x v="2"/>
    <x v="5"/>
    <n v="352"/>
    <x v="134"/>
    <x v="2"/>
    <x v="0"/>
    <x v="1"/>
    <n v="15.81"/>
    <x v="214"/>
  </r>
  <r>
    <s v="U2377"/>
    <x v="28"/>
    <s v="USA"/>
    <x v="0"/>
    <x v="3"/>
    <n v="230"/>
    <x v="132"/>
    <x v="1"/>
    <x v="0"/>
    <x v="2"/>
    <n v="36.450000000000003"/>
    <x v="215"/>
  </r>
  <r>
    <s v="U2378"/>
    <x v="32"/>
    <s v="Australia"/>
    <x v="3"/>
    <x v="0"/>
    <n v="900"/>
    <x v="71"/>
    <x v="2"/>
    <x v="1"/>
    <x v="2"/>
    <n v="59.14"/>
    <x v="216"/>
  </r>
  <r>
    <s v="U2390"/>
    <x v="28"/>
    <s v="South Korea"/>
    <x v="4"/>
    <x v="2"/>
    <n v="420"/>
    <x v="170"/>
    <x v="4"/>
    <x v="1"/>
    <x v="0"/>
    <n v="78.040000000000006"/>
    <x v="217"/>
  </r>
  <r>
    <s v="U2392"/>
    <x v="17"/>
    <s v="India"/>
    <x v="2"/>
    <x v="5"/>
    <n v="139"/>
    <x v="175"/>
    <x v="1"/>
    <x v="0"/>
    <x v="1"/>
    <n v="85"/>
    <x v="218"/>
  </r>
  <r>
    <s v="U2407"/>
    <x v="0"/>
    <s v="South Korea"/>
    <x v="0"/>
    <x v="2"/>
    <n v="206"/>
    <x v="79"/>
    <x v="4"/>
    <x v="1"/>
    <x v="2"/>
    <n v="76.459999999999994"/>
    <x v="219"/>
  </r>
  <r>
    <s v="U2408"/>
    <x v="38"/>
    <s v="UK"/>
    <x v="3"/>
    <x v="1"/>
    <n v="518"/>
    <x v="170"/>
    <x v="2"/>
    <x v="0"/>
    <x v="0"/>
    <n v="27.35"/>
    <x v="220"/>
  </r>
  <r>
    <s v="U2415"/>
    <x v="6"/>
    <s v="UK"/>
    <x v="2"/>
    <x v="0"/>
    <n v="367"/>
    <x v="105"/>
    <x v="4"/>
    <x v="1"/>
    <x v="1"/>
    <n v="59.45"/>
    <x v="221"/>
  </r>
  <r>
    <s v="U2416"/>
    <x v="19"/>
    <s v="USA"/>
    <x v="1"/>
    <x v="3"/>
    <n v="417"/>
    <x v="176"/>
    <x v="3"/>
    <x v="1"/>
    <x v="1"/>
    <n v="54.98"/>
    <x v="222"/>
  </r>
  <r>
    <s v="U2438"/>
    <x v="39"/>
    <s v="Australia"/>
    <x v="1"/>
    <x v="2"/>
    <n v="62"/>
    <x v="176"/>
    <x v="1"/>
    <x v="1"/>
    <x v="1"/>
    <n v="61.88"/>
    <x v="223"/>
  </r>
  <r>
    <s v="U2447"/>
    <x v="2"/>
    <s v="South Korea"/>
    <x v="2"/>
    <x v="3"/>
    <n v="900"/>
    <x v="177"/>
    <x v="1"/>
    <x v="1"/>
    <x v="2"/>
    <n v="73.02"/>
    <x v="224"/>
  </r>
  <r>
    <s v="U2453"/>
    <x v="21"/>
    <s v="Australia"/>
    <x v="5"/>
    <x v="0"/>
    <n v="72"/>
    <x v="12"/>
    <x v="2"/>
    <x v="1"/>
    <x v="0"/>
    <n v="25.97"/>
    <x v="225"/>
  </r>
  <r>
    <s v="U2481"/>
    <x v="41"/>
    <s v="India"/>
    <x v="1"/>
    <x v="1"/>
    <n v="82"/>
    <x v="178"/>
    <x v="3"/>
    <x v="0"/>
    <x v="0"/>
    <n v="15.22"/>
    <x v="226"/>
  </r>
  <r>
    <s v="U2488"/>
    <x v="18"/>
    <s v="India"/>
    <x v="0"/>
    <x v="5"/>
    <n v="475"/>
    <x v="91"/>
    <x v="3"/>
    <x v="1"/>
    <x v="1"/>
    <n v="58.58"/>
    <x v="227"/>
  </r>
  <r>
    <s v="U2490"/>
    <x v="5"/>
    <s v="South Korea"/>
    <x v="2"/>
    <x v="4"/>
    <n v="259"/>
    <x v="179"/>
    <x v="2"/>
    <x v="0"/>
    <x v="1"/>
    <n v="37.159999999999997"/>
    <x v="228"/>
  </r>
  <r>
    <s v="U2501"/>
    <x v="42"/>
    <s v="Australia"/>
    <x v="4"/>
    <x v="4"/>
    <n v="568"/>
    <x v="180"/>
    <x v="1"/>
    <x v="1"/>
    <x v="2"/>
    <n v="54.45"/>
    <x v="229"/>
  </r>
  <r>
    <s v="U2506"/>
    <x v="33"/>
    <s v="UK"/>
    <x v="2"/>
    <x v="5"/>
    <n v="401"/>
    <x v="5"/>
    <x v="4"/>
    <x v="0"/>
    <x v="0"/>
    <n v="63.72"/>
    <x v="230"/>
  </r>
  <r>
    <s v="U2513"/>
    <x v="1"/>
    <s v="South Korea"/>
    <x v="1"/>
    <x v="4"/>
    <n v="438"/>
    <x v="10"/>
    <x v="0"/>
    <x v="0"/>
    <x v="2"/>
    <n v="33.46"/>
    <x v="231"/>
  </r>
  <r>
    <s v="U2515"/>
    <x v="35"/>
    <s v="UK"/>
    <x v="4"/>
    <x v="0"/>
    <n v="590"/>
    <x v="181"/>
    <x v="2"/>
    <x v="1"/>
    <x v="0"/>
    <n v="28.63"/>
    <x v="232"/>
  </r>
  <r>
    <s v="U2517"/>
    <x v="12"/>
    <s v="South Korea"/>
    <x v="3"/>
    <x v="2"/>
    <n v="386"/>
    <x v="182"/>
    <x v="2"/>
    <x v="1"/>
    <x v="0"/>
    <n v="34.56"/>
    <x v="233"/>
  </r>
  <r>
    <s v="U2527"/>
    <x v="0"/>
    <s v="USA"/>
    <x v="3"/>
    <x v="5"/>
    <n v="295"/>
    <x v="78"/>
    <x v="2"/>
    <x v="0"/>
    <x v="1"/>
    <n v="53.28"/>
    <x v="234"/>
  </r>
  <r>
    <s v="U2530"/>
    <x v="31"/>
    <s v="India"/>
    <x v="2"/>
    <x v="2"/>
    <n v="469"/>
    <x v="183"/>
    <x v="0"/>
    <x v="0"/>
    <x v="2"/>
    <n v="55.99"/>
    <x v="235"/>
  </r>
  <r>
    <s v="U2532"/>
    <x v="0"/>
    <s v="Australia"/>
    <x v="5"/>
    <x v="2"/>
    <n v="471"/>
    <x v="184"/>
    <x v="0"/>
    <x v="0"/>
    <x v="1"/>
    <n v="25.1"/>
    <x v="236"/>
  </r>
  <r>
    <s v="U2547"/>
    <x v="47"/>
    <s v="UK"/>
    <x v="2"/>
    <x v="0"/>
    <n v="208"/>
    <x v="185"/>
    <x v="2"/>
    <x v="1"/>
    <x v="2"/>
    <n v="83.46"/>
    <x v="237"/>
  </r>
  <r>
    <s v="U2552"/>
    <x v="45"/>
    <s v="USA"/>
    <x v="2"/>
    <x v="1"/>
    <n v="160"/>
    <x v="186"/>
    <x v="4"/>
    <x v="0"/>
    <x v="1"/>
    <n v="18.940000000000001"/>
    <x v="238"/>
  </r>
  <r>
    <s v="U2553"/>
    <x v="47"/>
    <s v="USA"/>
    <x v="1"/>
    <x v="4"/>
    <n v="288"/>
    <x v="187"/>
    <x v="0"/>
    <x v="1"/>
    <x v="0"/>
    <n v="10.24"/>
    <x v="239"/>
  </r>
  <r>
    <s v="U2566"/>
    <x v="29"/>
    <s v="India"/>
    <x v="2"/>
    <x v="1"/>
    <n v="108"/>
    <x v="188"/>
    <x v="0"/>
    <x v="1"/>
    <x v="0"/>
    <n v="15.79"/>
    <x v="240"/>
  </r>
  <r>
    <s v="U2583"/>
    <x v="0"/>
    <s v="South Korea"/>
    <x v="3"/>
    <x v="0"/>
    <n v="64"/>
    <x v="189"/>
    <x v="1"/>
    <x v="1"/>
    <x v="1"/>
    <n v="30.76"/>
    <x v="241"/>
  </r>
  <r>
    <s v="U2586"/>
    <x v="44"/>
    <s v="USA"/>
    <x v="1"/>
    <x v="4"/>
    <n v="143"/>
    <x v="149"/>
    <x v="3"/>
    <x v="0"/>
    <x v="1"/>
    <n v="13.78"/>
    <x v="242"/>
  </r>
  <r>
    <s v="U2588"/>
    <x v="4"/>
    <s v="Australia"/>
    <x v="4"/>
    <x v="3"/>
    <n v="107"/>
    <x v="129"/>
    <x v="1"/>
    <x v="0"/>
    <x v="0"/>
    <n v="75.88"/>
    <x v="243"/>
  </r>
  <r>
    <s v="U2593"/>
    <x v="7"/>
    <s v="USA"/>
    <x v="2"/>
    <x v="3"/>
    <n v="86"/>
    <x v="190"/>
    <x v="4"/>
    <x v="1"/>
    <x v="2"/>
    <n v="43.46"/>
    <x v="244"/>
  </r>
  <r>
    <s v="U2621"/>
    <x v="33"/>
    <s v="India"/>
    <x v="2"/>
    <x v="1"/>
    <n v="91"/>
    <x v="191"/>
    <x v="4"/>
    <x v="0"/>
    <x v="1"/>
    <n v="76.66"/>
    <x v="245"/>
  </r>
  <r>
    <s v="U2629"/>
    <x v="2"/>
    <s v="USA"/>
    <x v="1"/>
    <x v="0"/>
    <n v="432"/>
    <x v="192"/>
    <x v="1"/>
    <x v="1"/>
    <x v="2"/>
    <n v="57.22"/>
    <x v="246"/>
  </r>
  <r>
    <s v="U2649"/>
    <x v="13"/>
    <s v="South Korea"/>
    <x v="3"/>
    <x v="1"/>
    <n v="166"/>
    <x v="193"/>
    <x v="0"/>
    <x v="1"/>
    <x v="0"/>
    <n v="58.95"/>
    <x v="247"/>
  </r>
  <r>
    <s v="U2654"/>
    <x v="19"/>
    <s v="USA"/>
    <x v="5"/>
    <x v="0"/>
    <n v="169"/>
    <x v="194"/>
    <x v="2"/>
    <x v="0"/>
    <x v="0"/>
    <n v="62.26"/>
    <x v="248"/>
  </r>
  <r>
    <s v="U2659"/>
    <x v="19"/>
    <s v="South Korea"/>
    <x v="4"/>
    <x v="1"/>
    <n v="517"/>
    <x v="195"/>
    <x v="1"/>
    <x v="1"/>
    <x v="0"/>
    <n v="79.88"/>
    <x v="249"/>
  </r>
  <r>
    <s v="U2661"/>
    <x v="14"/>
    <s v="Australia"/>
    <x v="4"/>
    <x v="5"/>
    <n v="583"/>
    <x v="196"/>
    <x v="2"/>
    <x v="0"/>
    <x v="1"/>
    <n v="15.48"/>
    <x v="250"/>
  </r>
  <r>
    <s v="U2664"/>
    <x v="17"/>
    <s v="UK"/>
    <x v="2"/>
    <x v="2"/>
    <n v="424"/>
    <x v="197"/>
    <x v="2"/>
    <x v="1"/>
    <x v="1"/>
    <n v="71.41"/>
    <x v="251"/>
  </r>
  <r>
    <s v="U2669"/>
    <x v="39"/>
    <s v="UK"/>
    <x v="5"/>
    <x v="2"/>
    <n v="426"/>
    <x v="198"/>
    <x v="1"/>
    <x v="1"/>
    <x v="1"/>
    <n v="41.31"/>
    <x v="252"/>
  </r>
  <r>
    <s v="U2674"/>
    <x v="27"/>
    <s v="Australia"/>
    <x v="0"/>
    <x v="2"/>
    <n v="130"/>
    <x v="199"/>
    <x v="0"/>
    <x v="1"/>
    <x v="1"/>
    <n v="23.47"/>
    <x v="253"/>
  </r>
  <r>
    <s v="U2678"/>
    <x v="41"/>
    <s v="USA"/>
    <x v="2"/>
    <x v="1"/>
    <n v="113"/>
    <x v="151"/>
    <x v="4"/>
    <x v="0"/>
    <x v="2"/>
    <n v="87.61"/>
    <x v="254"/>
  </r>
  <r>
    <s v="U2687"/>
    <x v="22"/>
    <s v="India"/>
    <x v="2"/>
    <x v="1"/>
    <n v="43"/>
    <x v="192"/>
    <x v="1"/>
    <x v="0"/>
    <x v="2"/>
    <n v="19.02"/>
    <x v="255"/>
  </r>
  <r>
    <s v="U2689"/>
    <x v="26"/>
    <s v="South Korea"/>
    <x v="5"/>
    <x v="4"/>
    <n v="317"/>
    <x v="200"/>
    <x v="4"/>
    <x v="0"/>
    <x v="1"/>
    <n v="59.4"/>
    <x v="256"/>
  </r>
  <r>
    <s v="U2707"/>
    <x v="42"/>
    <s v="UK"/>
    <x v="5"/>
    <x v="1"/>
    <n v="216"/>
    <x v="201"/>
    <x v="4"/>
    <x v="0"/>
    <x v="2"/>
    <n v="49.39"/>
    <x v="242"/>
  </r>
  <r>
    <s v="U2731"/>
    <x v="30"/>
    <s v="Australia"/>
    <x v="5"/>
    <x v="3"/>
    <n v="543"/>
    <x v="22"/>
    <x v="2"/>
    <x v="0"/>
    <x v="0"/>
    <n v="25.59"/>
    <x v="257"/>
  </r>
  <r>
    <s v="U2740"/>
    <x v="0"/>
    <s v="UK"/>
    <x v="5"/>
    <x v="3"/>
    <n v="382"/>
    <x v="202"/>
    <x v="4"/>
    <x v="1"/>
    <x v="0"/>
    <n v="76.42"/>
    <x v="258"/>
  </r>
  <r>
    <s v="U2744"/>
    <x v="37"/>
    <s v="USA"/>
    <x v="2"/>
    <x v="1"/>
    <n v="167"/>
    <x v="177"/>
    <x v="2"/>
    <x v="0"/>
    <x v="2"/>
    <n v="57.73"/>
    <x v="259"/>
  </r>
  <r>
    <s v="U2755"/>
    <x v="26"/>
    <s v="India"/>
    <x v="3"/>
    <x v="1"/>
    <n v="43"/>
    <x v="203"/>
    <x v="1"/>
    <x v="1"/>
    <x v="0"/>
    <n v="54.57"/>
    <x v="260"/>
  </r>
  <r>
    <s v="U2756"/>
    <x v="21"/>
    <s v="USA"/>
    <x v="4"/>
    <x v="3"/>
    <n v="187"/>
    <x v="204"/>
    <x v="3"/>
    <x v="1"/>
    <x v="2"/>
    <n v="46.87"/>
    <x v="261"/>
  </r>
  <r>
    <s v="U2760"/>
    <x v="36"/>
    <s v="India"/>
    <x v="5"/>
    <x v="5"/>
    <n v="91"/>
    <x v="120"/>
    <x v="1"/>
    <x v="0"/>
    <x v="0"/>
    <n v="45.1"/>
    <x v="262"/>
  </r>
  <r>
    <s v="U2771"/>
    <x v="43"/>
    <s v="USA"/>
    <x v="4"/>
    <x v="0"/>
    <n v="363"/>
    <x v="79"/>
    <x v="3"/>
    <x v="1"/>
    <x v="2"/>
    <n v="26.42"/>
    <x v="263"/>
  </r>
  <r>
    <s v="U2772"/>
    <x v="46"/>
    <s v="India"/>
    <x v="4"/>
    <x v="2"/>
    <n v="176"/>
    <x v="61"/>
    <x v="0"/>
    <x v="1"/>
    <x v="2"/>
    <n v="46.4"/>
    <x v="264"/>
  </r>
  <r>
    <s v="U2773"/>
    <x v="4"/>
    <s v="India"/>
    <x v="0"/>
    <x v="0"/>
    <n v="382"/>
    <x v="205"/>
    <x v="3"/>
    <x v="1"/>
    <x v="0"/>
    <n v="22.73"/>
    <x v="265"/>
  </r>
  <r>
    <s v="U2777"/>
    <x v="31"/>
    <s v="UK"/>
    <x v="3"/>
    <x v="5"/>
    <n v="429"/>
    <x v="206"/>
    <x v="1"/>
    <x v="0"/>
    <x v="1"/>
    <n v="86.1"/>
    <x v="266"/>
  </r>
  <r>
    <s v="U2783"/>
    <x v="20"/>
    <s v="UK"/>
    <x v="4"/>
    <x v="5"/>
    <n v="197"/>
    <x v="207"/>
    <x v="0"/>
    <x v="0"/>
    <x v="1"/>
    <n v="18.27"/>
    <x v="267"/>
  </r>
  <r>
    <s v="U2790"/>
    <x v="7"/>
    <s v="UK"/>
    <x v="4"/>
    <x v="5"/>
    <n v="440"/>
    <x v="128"/>
    <x v="3"/>
    <x v="0"/>
    <x v="0"/>
    <n v="36.44"/>
    <x v="268"/>
  </r>
  <r>
    <s v="U2791"/>
    <x v="17"/>
    <s v="South Korea"/>
    <x v="4"/>
    <x v="4"/>
    <n v="152"/>
    <x v="208"/>
    <x v="0"/>
    <x v="0"/>
    <x v="2"/>
    <n v="69.66"/>
    <x v="269"/>
  </r>
  <r>
    <s v="U2792"/>
    <x v="23"/>
    <s v="India"/>
    <x v="2"/>
    <x v="4"/>
    <n v="194"/>
    <x v="209"/>
    <x v="4"/>
    <x v="1"/>
    <x v="1"/>
    <n v="61.62"/>
    <x v="270"/>
  </r>
  <r>
    <s v="U2809"/>
    <x v="11"/>
    <s v="Australia"/>
    <x v="2"/>
    <x v="4"/>
    <n v="508"/>
    <x v="201"/>
    <x v="1"/>
    <x v="1"/>
    <x v="1"/>
    <n v="10.28"/>
    <x v="271"/>
  </r>
  <r>
    <s v="U2820"/>
    <x v="22"/>
    <s v="Australia"/>
    <x v="5"/>
    <x v="1"/>
    <n v="427"/>
    <x v="210"/>
    <x v="0"/>
    <x v="1"/>
    <x v="1"/>
    <n v="45.35"/>
    <x v="272"/>
  </r>
  <r>
    <s v="U2821"/>
    <x v="37"/>
    <s v="UK"/>
    <x v="1"/>
    <x v="5"/>
    <n v="66"/>
    <x v="176"/>
    <x v="4"/>
    <x v="1"/>
    <x v="1"/>
    <n v="67.77"/>
    <x v="273"/>
  </r>
  <r>
    <s v="U2827"/>
    <x v="46"/>
    <s v="South Korea"/>
    <x v="4"/>
    <x v="2"/>
    <n v="568"/>
    <x v="115"/>
    <x v="3"/>
    <x v="1"/>
    <x v="1"/>
    <n v="38.53"/>
    <x v="274"/>
  </r>
  <r>
    <s v="U2829"/>
    <x v="30"/>
    <s v="Australia"/>
    <x v="5"/>
    <x v="2"/>
    <n v="140"/>
    <x v="211"/>
    <x v="2"/>
    <x v="0"/>
    <x v="0"/>
    <n v="18.41"/>
    <x v="275"/>
  </r>
  <r>
    <s v="U2837"/>
    <x v="10"/>
    <s v="India"/>
    <x v="3"/>
    <x v="0"/>
    <n v="198"/>
    <x v="128"/>
    <x v="4"/>
    <x v="0"/>
    <x v="0"/>
    <n v="16.920000000000002"/>
    <x v="276"/>
  </r>
  <r>
    <s v="U2838"/>
    <x v="32"/>
    <s v="Australia"/>
    <x v="0"/>
    <x v="5"/>
    <n v="188"/>
    <x v="212"/>
    <x v="1"/>
    <x v="1"/>
    <x v="0"/>
    <n v="76.66"/>
    <x v="277"/>
  </r>
  <r>
    <s v="U2839"/>
    <x v="38"/>
    <s v="India"/>
    <x v="1"/>
    <x v="2"/>
    <n v="512"/>
    <x v="213"/>
    <x v="3"/>
    <x v="1"/>
    <x v="0"/>
    <n v="74.510000000000005"/>
    <x v="278"/>
  </r>
  <r>
    <s v="U2840"/>
    <x v="13"/>
    <s v="Australia"/>
    <x v="5"/>
    <x v="5"/>
    <n v="494"/>
    <x v="214"/>
    <x v="3"/>
    <x v="1"/>
    <x v="0"/>
    <n v="56.24"/>
    <x v="279"/>
  </r>
  <r>
    <s v="U2851"/>
    <x v="8"/>
    <s v="India"/>
    <x v="0"/>
    <x v="2"/>
    <n v="516"/>
    <x v="215"/>
    <x v="0"/>
    <x v="1"/>
    <x v="2"/>
    <n v="57.91"/>
    <x v="280"/>
  </r>
  <r>
    <s v="U2859"/>
    <x v="36"/>
    <s v="South Korea"/>
    <x v="3"/>
    <x v="0"/>
    <n v="355"/>
    <x v="216"/>
    <x v="4"/>
    <x v="1"/>
    <x v="2"/>
    <n v="64"/>
    <x v="281"/>
  </r>
  <r>
    <s v="U2869"/>
    <x v="9"/>
    <s v="Australia"/>
    <x v="2"/>
    <x v="0"/>
    <n v="46"/>
    <x v="217"/>
    <x v="1"/>
    <x v="1"/>
    <x v="0"/>
    <n v="49.57"/>
    <x v="282"/>
  </r>
  <r>
    <s v="U2870"/>
    <x v="37"/>
    <s v="India"/>
    <x v="5"/>
    <x v="1"/>
    <n v="277"/>
    <x v="218"/>
    <x v="4"/>
    <x v="1"/>
    <x v="0"/>
    <n v="23.25"/>
    <x v="133"/>
  </r>
  <r>
    <s v="U2876"/>
    <x v="17"/>
    <s v="South Korea"/>
    <x v="3"/>
    <x v="1"/>
    <n v="43"/>
    <x v="219"/>
    <x v="3"/>
    <x v="0"/>
    <x v="2"/>
    <n v="87.53"/>
    <x v="283"/>
  </r>
  <r>
    <s v="U2878"/>
    <x v="34"/>
    <s v="India"/>
    <x v="5"/>
    <x v="1"/>
    <n v="106"/>
    <x v="34"/>
    <x v="1"/>
    <x v="1"/>
    <x v="2"/>
    <n v="76.430000000000007"/>
    <x v="284"/>
  </r>
  <r>
    <s v="U2880"/>
    <x v="1"/>
    <s v="UK"/>
    <x v="3"/>
    <x v="1"/>
    <n v="573"/>
    <x v="220"/>
    <x v="2"/>
    <x v="1"/>
    <x v="1"/>
    <n v="30.82"/>
    <x v="285"/>
  </r>
  <r>
    <s v="U2881"/>
    <x v="27"/>
    <s v="India"/>
    <x v="1"/>
    <x v="1"/>
    <n v="187"/>
    <x v="221"/>
    <x v="0"/>
    <x v="0"/>
    <x v="0"/>
    <n v="36.46"/>
    <x v="33"/>
  </r>
  <r>
    <s v="U2883"/>
    <x v="32"/>
    <s v="Australia"/>
    <x v="2"/>
    <x v="3"/>
    <n v="120"/>
    <x v="222"/>
    <x v="3"/>
    <x v="1"/>
    <x v="2"/>
    <n v="53.51"/>
    <x v="286"/>
  </r>
  <r>
    <s v="U2896"/>
    <x v="17"/>
    <s v="USA"/>
    <x v="2"/>
    <x v="1"/>
    <n v="525"/>
    <x v="223"/>
    <x v="0"/>
    <x v="1"/>
    <x v="0"/>
    <n v="86.43"/>
    <x v="287"/>
  </r>
  <r>
    <s v="U2900"/>
    <x v="37"/>
    <s v="Australia"/>
    <x v="0"/>
    <x v="2"/>
    <n v="330"/>
    <x v="224"/>
    <x v="3"/>
    <x v="1"/>
    <x v="2"/>
    <n v="44.02"/>
    <x v="288"/>
  </r>
  <r>
    <s v="U2901"/>
    <x v="3"/>
    <s v="UK"/>
    <x v="0"/>
    <x v="1"/>
    <n v="96"/>
    <x v="112"/>
    <x v="4"/>
    <x v="1"/>
    <x v="2"/>
    <n v="60.61"/>
    <x v="289"/>
  </r>
  <r>
    <s v="U2903"/>
    <x v="45"/>
    <s v="UK"/>
    <x v="4"/>
    <x v="2"/>
    <n v="25"/>
    <x v="225"/>
    <x v="3"/>
    <x v="1"/>
    <x v="0"/>
    <n v="64.13"/>
    <x v="290"/>
  </r>
  <r>
    <s v="U2906"/>
    <x v="37"/>
    <s v="UK"/>
    <x v="3"/>
    <x v="3"/>
    <n v="50"/>
    <x v="84"/>
    <x v="0"/>
    <x v="1"/>
    <x v="0"/>
    <n v="11.99"/>
    <x v="291"/>
  </r>
  <r>
    <s v="U2907"/>
    <x v="20"/>
    <s v="India"/>
    <x v="3"/>
    <x v="5"/>
    <n v="86"/>
    <x v="89"/>
    <x v="1"/>
    <x v="0"/>
    <x v="1"/>
    <n v="37.729999999999997"/>
    <x v="292"/>
  </r>
  <r>
    <s v="U2924"/>
    <x v="29"/>
    <s v="UK"/>
    <x v="3"/>
    <x v="0"/>
    <n v="223"/>
    <x v="97"/>
    <x v="0"/>
    <x v="0"/>
    <x v="2"/>
    <n v="78.63"/>
    <x v="293"/>
  </r>
  <r>
    <s v="U2925"/>
    <x v="19"/>
    <s v="South Korea"/>
    <x v="0"/>
    <x v="0"/>
    <n v="308"/>
    <x v="226"/>
    <x v="2"/>
    <x v="0"/>
    <x v="1"/>
    <n v="56.8"/>
    <x v="294"/>
  </r>
  <r>
    <s v="U2932"/>
    <x v="22"/>
    <s v="UK"/>
    <x v="3"/>
    <x v="4"/>
    <n v="123"/>
    <x v="1"/>
    <x v="3"/>
    <x v="0"/>
    <x v="1"/>
    <n v="24"/>
    <x v="295"/>
  </r>
  <r>
    <s v="U2937"/>
    <x v="32"/>
    <s v="South Korea"/>
    <x v="4"/>
    <x v="2"/>
    <n v="589"/>
    <x v="177"/>
    <x v="4"/>
    <x v="0"/>
    <x v="2"/>
    <n v="38.549999999999997"/>
    <x v="296"/>
  </r>
  <r>
    <s v="U2951"/>
    <x v="19"/>
    <s v="USA"/>
    <x v="5"/>
    <x v="3"/>
    <n v="476"/>
    <x v="227"/>
    <x v="4"/>
    <x v="1"/>
    <x v="0"/>
    <n v="41.72"/>
    <x v="297"/>
  </r>
  <r>
    <s v="U2952"/>
    <x v="14"/>
    <s v="UK"/>
    <x v="4"/>
    <x v="1"/>
    <n v="22"/>
    <x v="228"/>
    <x v="3"/>
    <x v="0"/>
    <x v="2"/>
    <n v="59.66"/>
    <x v="298"/>
  </r>
  <r>
    <s v="U2962"/>
    <x v="7"/>
    <s v="South Korea"/>
    <x v="0"/>
    <x v="2"/>
    <n v="319"/>
    <x v="229"/>
    <x v="4"/>
    <x v="0"/>
    <x v="2"/>
    <n v="59.88"/>
    <x v="299"/>
  </r>
  <r>
    <s v="U2972"/>
    <x v="18"/>
    <s v="India"/>
    <x v="2"/>
    <x v="0"/>
    <n v="75"/>
    <x v="230"/>
    <x v="1"/>
    <x v="0"/>
    <x v="0"/>
    <n v="54.44"/>
    <x v="300"/>
  </r>
  <r>
    <s v="U2974"/>
    <x v="38"/>
    <s v="Australia"/>
    <x v="5"/>
    <x v="3"/>
    <n v="434"/>
    <x v="231"/>
    <x v="3"/>
    <x v="0"/>
    <x v="2"/>
    <n v="84.36"/>
    <x v="301"/>
  </r>
  <r>
    <s v="U2982"/>
    <x v="6"/>
    <s v="India"/>
    <x v="1"/>
    <x v="4"/>
    <n v="342"/>
    <x v="232"/>
    <x v="2"/>
    <x v="0"/>
    <x v="0"/>
    <n v="71.650000000000006"/>
    <x v="302"/>
  </r>
  <r>
    <s v="U2990"/>
    <x v="19"/>
    <s v="India"/>
    <x v="1"/>
    <x v="2"/>
    <n v="539"/>
    <x v="233"/>
    <x v="2"/>
    <x v="0"/>
    <x v="1"/>
    <n v="80.290000000000006"/>
    <x v="303"/>
  </r>
  <r>
    <s v="U3008"/>
    <x v="27"/>
    <s v="Australia"/>
    <x v="3"/>
    <x v="4"/>
    <n v="548"/>
    <x v="68"/>
    <x v="4"/>
    <x v="0"/>
    <x v="1"/>
    <n v="47.21"/>
    <x v="304"/>
  </r>
  <r>
    <s v="U3016"/>
    <x v="25"/>
    <s v="India"/>
    <x v="4"/>
    <x v="4"/>
    <n v="367"/>
    <x v="234"/>
    <x v="2"/>
    <x v="0"/>
    <x v="2"/>
    <n v="14.74"/>
    <x v="305"/>
  </r>
  <r>
    <s v="U3018"/>
    <x v="35"/>
    <s v="UK"/>
    <x v="0"/>
    <x v="4"/>
    <n v="483"/>
    <x v="235"/>
    <x v="1"/>
    <x v="1"/>
    <x v="2"/>
    <n v="71.900000000000006"/>
    <x v="306"/>
  </r>
  <r>
    <s v="U3020"/>
    <x v="21"/>
    <s v="USA"/>
    <x v="0"/>
    <x v="1"/>
    <n v="519"/>
    <x v="236"/>
    <x v="2"/>
    <x v="0"/>
    <x v="0"/>
    <n v="58.42"/>
    <x v="307"/>
  </r>
  <r>
    <s v="U3023"/>
    <x v="4"/>
    <s v="USA"/>
    <x v="4"/>
    <x v="3"/>
    <n v="181"/>
    <x v="43"/>
    <x v="2"/>
    <x v="0"/>
    <x v="2"/>
    <n v="36.229999999999997"/>
    <x v="308"/>
  </r>
  <r>
    <s v="U3026"/>
    <x v="6"/>
    <s v="India"/>
    <x v="0"/>
    <x v="3"/>
    <n v="313"/>
    <x v="237"/>
    <x v="0"/>
    <x v="1"/>
    <x v="0"/>
    <n v="23.01"/>
    <x v="309"/>
  </r>
  <r>
    <s v="U3044"/>
    <x v="23"/>
    <s v="India"/>
    <x v="3"/>
    <x v="4"/>
    <n v="129"/>
    <x v="238"/>
    <x v="2"/>
    <x v="0"/>
    <x v="2"/>
    <n v="59.96"/>
    <x v="310"/>
  </r>
  <r>
    <s v="U3050"/>
    <x v="38"/>
    <s v="USA"/>
    <x v="0"/>
    <x v="3"/>
    <n v="172"/>
    <x v="239"/>
    <x v="2"/>
    <x v="0"/>
    <x v="1"/>
    <n v="63.86"/>
    <x v="311"/>
  </r>
  <r>
    <s v="U3052"/>
    <x v="17"/>
    <s v="Australia"/>
    <x v="4"/>
    <x v="2"/>
    <n v="276"/>
    <x v="240"/>
    <x v="3"/>
    <x v="0"/>
    <x v="2"/>
    <n v="89.47"/>
    <x v="312"/>
  </r>
  <r>
    <s v="U3057"/>
    <x v="12"/>
    <s v="India"/>
    <x v="0"/>
    <x v="4"/>
    <n v="367"/>
    <x v="160"/>
    <x v="2"/>
    <x v="0"/>
    <x v="1"/>
    <n v="17.18"/>
    <x v="313"/>
  </r>
  <r>
    <s v="U3059"/>
    <x v="3"/>
    <s v="USA"/>
    <x v="0"/>
    <x v="0"/>
    <n v="160"/>
    <x v="12"/>
    <x v="1"/>
    <x v="1"/>
    <x v="2"/>
    <n v="87"/>
    <x v="314"/>
  </r>
  <r>
    <s v="U3062"/>
    <x v="12"/>
    <s v="USA"/>
    <x v="1"/>
    <x v="4"/>
    <n v="199"/>
    <x v="67"/>
    <x v="1"/>
    <x v="1"/>
    <x v="1"/>
    <n v="41.41"/>
    <x v="315"/>
  </r>
  <r>
    <s v="U3065"/>
    <x v="11"/>
    <s v="India"/>
    <x v="1"/>
    <x v="4"/>
    <n v="131"/>
    <x v="241"/>
    <x v="4"/>
    <x v="0"/>
    <x v="1"/>
    <n v="31.41"/>
    <x v="316"/>
  </r>
  <r>
    <s v="U3088"/>
    <x v="27"/>
    <s v="India"/>
    <x v="1"/>
    <x v="4"/>
    <n v="584"/>
    <x v="28"/>
    <x v="3"/>
    <x v="0"/>
    <x v="2"/>
    <n v="87.51"/>
    <x v="317"/>
  </r>
  <r>
    <s v="U3090"/>
    <x v="12"/>
    <s v="India"/>
    <x v="5"/>
    <x v="3"/>
    <n v="900"/>
    <x v="234"/>
    <x v="1"/>
    <x v="1"/>
    <x v="1"/>
    <n v="48.35"/>
    <x v="318"/>
  </r>
  <r>
    <s v="U3100"/>
    <x v="1"/>
    <s v="USA"/>
    <x v="2"/>
    <x v="4"/>
    <n v="400"/>
    <x v="83"/>
    <x v="3"/>
    <x v="1"/>
    <x v="2"/>
    <n v="65.989999999999995"/>
    <x v="319"/>
  </r>
  <r>
    <s v="U3108"/>
    <x v="40"/>
    <s v="South Korea"/>
    <x v="5"/>
    <x v="3"/>
    <n v="579"/>
    <x v="242"/>
    <x v="3"/>
    <x v="0"/>
    <x v="0"/>
    <n v="26.65"/>
    <x v="320"/>
  </r>
  <r>
    <s v="U3125"/>
    <x v="15"/>
    <s v="UK"/>
    <x v="4"/>
    <x v="5"/>
    <n v="106"/>
    <x v="14"/>
    <x v="1"/>
    <x v="1"/>
    <x v="2"/>
    <n v="12.3"/>
    <x v="321"/>
  </r>
  <r>
    <s v="U3129"/>
    <x v="28"/>
    <s v="South Korea"/>
    <x v="4"/>
    <x v="0"/>
    <n v="89"/>
    <x v="243"/>
    <x v="3"/>
    <x v="1"/>
    <x v="0"/>
    <n v="59.4"/>
    <x v="322"/>
  </r>
  <r>
    <s v="U3136"/>
    <x v="5"/>
    <s v="Australia"/>
    <x v="2"/>
    <x v="5"/>
    <n v="493"/>
    <x v="242"/>
    <x v="3"/>
    <x v="0"/>
    <x v="1"/>
    <n v="28.54"/>
    <x v="323"/>
  </r>
  <r>
    <s v="U3140"/>
    <x v="17"/>
    <s v="South Korea"/>
    <x v="5"/>
    <x v="1"/>
    <n v="262"/>
    <x v="244"/>
    <x v="3"/>
    <x v="1"/>
    <x v="1"/>
    <n v="39.94"/>
    <x v="324"/>
  </r>
  <r>
    <s v="U3142"/>
    <x v="4"/>
    <s v="South Korea"/>
    <x v="3"/>
    <x v="4"/>
    <n v="510"/>
    <x v="245"/>
    <x v="0"/>
    <x v="0"/>
    <x v="0"/>
    <n v="69.010000000000005"/>
    <x v="325"/>
  </r>
  <r>
    <s v="U3143"/>
    <x v="14"/>
    <s v="India"/>
    <x v="5"/>
    <x v="5"/>
    <n v="214"/>
    <x v="179"/>
    <x v="0"/>
    <x v="1"/>
    <x v="1"/>
    <n v="78.510000000000005"/>
    <x v="326"/>
  </r>
  <r>
    <s v="U3147"/>
    <x v="37"/>
    <s v="UK"/>
    <x v="2"/>
    <x v="3"/>
    <n v="442"/>
    <x v="246"/>
    <x v="4"/>
    <x v="1"/>
    <x v="2"/>
    <n v="89.74"/>
    <x v="327"/>
  </r>
  <r>
    <s v="U3148"/>
    <x v="11"/>
    <s v="India"/>
    <x v="2"/>
    <x v="0"/>
    <n v="468"/>
    <x v="15"/>
    <x v="3"/>
    <x v="0"/>
    <x v="1"/>
    <n v="25.19"/>
    <x v="328"/>
  </r>
  <r>
    <s v="U3151"/>
    <x v="15"/>
    <s v="UK"/>
    <x v="5"/>
    <x v="0"/>
    <n v="21"/>
    <x v="186"/>
    <x v="0"/>
    <x v="0"/>
    <x v="2"/>
    <n v="77.83"/>
    <x v="329"/>
  </r>
  <r>
    <s v="U3159"/>
    <x v="22"/>
    <s v="South Korea"/>
    <x v="1"/>
    <x v="3"/>
    <n v="555"/>
    <x v="247"/>
    <x v="3"/>
    <x v="1"/>
    <x v="0"/>
    <n v="56.82"/>
    <x v="330"/>
  </r>
  <r>
    <s v="U3161"/>
    <x v="36"/>
    <s v="USA"/>
    <x v="2"/>
    <x v="1"/>
    <n v="251"/>
    <x v="156"/>
    <x v="1"/>
    <x v="0"/>
    <x v="1"/>
    <n v="21.15"/>
    <x v="331"/>
  </r>
  <r>
    <s v="U3183"/>
    <x v="36"/>
    <s v="India"/>
    <x v="4"/>
    <x v="3"/>
    <n v="351"/>
    <x v="125"/>
    <x v="4"/>
    <x v="1"/>
    <x v="1"/>
    <n v="16.97"/>
    <x v="332"/>
  </r>
  <r>
    <s v="U3199"/>
    <x v="41"/>
    <s v="USA"/>
    <x v="1"/>
    <x v="0"/>
    <n v="452"/>
    <x v="165"/>
    <x v="3"/>
    <x v="1"/>
    <x v="0"/>
    <n v="19.510000000000002"/>
    <x v="333"/>
  </r>
  <r>
    <s v="U3208"/>
    <x v="10"/>
    <s v="USA"/>
    <x v="0"/>
    <x v="1"/>
    <n v="26"/>
    <x v="248"/>
    <x v="0"/>
    <x v="0"/>
    <x v="2"/>
    <n v="29.38"/>
    <x v="123"/>
  </r>
  <r>
    <s v="U3224"/>
    <x v="27"/>
    <s v="India"/>
    <x v="3"/>
    <x v="1"/>
    <n v="430"/>
    <x v="249"/>
    <x v="0"/>
    <x v="0"/>
    <x v="0"/>
    <n v="43.96"/>
    <x v="334"/>
  </r>
  <r>
    <s v="U3229"/>
    <x v="37"/>
    <s v="South Korea"/>
    <x v="0"/>
    <x v="4"/>
    <n v="438"/>
    <x v="66"/>
    <x v="4"/>
    <x v="0"/>
    <x v="1"/>
    <n v="83.03"/>
    <x v="335"/>
  </r>
  <r>
    <s v="U3233"/>
    <x v="21"/>
    <s v="India"/>
    <x v="1"/>
    <x v="0"/>
    <n v="527"/>
    <x v="206"/>
    <x v="4"/>
    <x v="1"/>
    <x v="0"/>
    <n v="41.77"/>
    <x v="336"/>
  </r>
  <r>
    <s v="U3252"/>
    <x v="13"/>
    <s v="India"/>
    <x v="3"/>
    <x v="2"/>
    <n v="21"/>
    <x v="185"/>
    <x v="3"/>
    <x v="0"/>
    <x v="1"/>
    <n v="61.65"/>
    <x v="337"/>
  </r>
  <r>
    <s v="U3260"/>
    <x v="1"/>
    <s v="UK"/>
    <x v="4"/>
    <x v="5"/>
    <n v="339"/>
    <x v="98"/>
    <x v="4"/>
    <x v="1"/>
    <x v="2"/>
    <n v="11.75"/>
    <x v="338"/>
  </r>
  <r>
    <s v="U3294"/>
    <x v="27"/>
    <s v="UK"/>
    <x v="1"/>
    <x v="1"/>
    <n v="542"/>
    <x v="216"/>
    <x v="1"/>
    <x v="0"/>
    <x v="0"/>
    <n v="17.239999999999998"/>
    <x v="173"/>
  </r>
  <r>
    <s v="U3295"/>
    <x v="25"/>
    <s v="South Korea"/>
    <x v="4"/>
    <x v="1"/>
    <n v="480"/>
    <x v="250"/>
    <x v="4"/>
    <x v="0"/>
    <x v="0"/>
    <n v="76.31"/>
    <x v="339"/>
  </r>
  <r>
    <s v="U3298"/>
    <x v="4"/>
    <s v="India"/>
    <x v="0"/>
    <x v="2"/>
    <n v="453"/>
    <x v="82"/>
    <x v="1"/>
    <x v="1"/>
    <x v="2"/>
    <n v="21.67"/>
    <x v="340"/>
  </r>
  <r>
    <s v="U3303"/>
    <x v="44"/>
    <s v="South Korea"/>
    <x v="5"/>
    <x v="4"/>
    <n v="133"/>
    <x v="251"/>
    <x v="3"/>
    <x v="1"/>
    <x v="0"/>
    <n v="12.48"/>
    <x v="341"/>
  </r>
  <r>
    <s v="U3315"/>
    <x v="11"/>
    <s v="UK"/>
    <x v="3"/>
    <x v="1"/>
    <n v="425"/>
    <x v="252"/>
    <x v="2"/>
    <x v="1"/>
    <x v="1"/>
    <n v="71.37"/>
    <x v="342"/>
  </r>
  <r>
    <s v="U3322"/>
    <x v="22"/>
    <s v="UK"/>
    <x v="4"/>
    <x v="4"/>
    <n v="380"/>
    <x v="253"/>
    <x v="4"/>
    <x v="1"/>
    <x v="2"/>
    <n v="26.3"/>
    <x v="343"/>
  </r>
  <r>
    <s v="U3343"/>
    <x v="17"/>
    <s v="USA"/>
    <x v="5"/>
    <x v="5"/>
    <n v="438"/>
    <x v="254"/>
    <x v="1"/>
    <x v="0"/>
    <x v="2"/>
    <n v="45.18"/>
    <x v="344"/>
  </r>
  <r>
    <s v="U3344"/>
    <x v="13"/>
    <s v="USA"/>
    <x v="5"/>
    <x v="0"/>
    <n v="348"/>
    <x v="131"/>
    <x v="3"/>
    <x v="0"/>
    <x v="0"/>
    <n v="36.51"/>
    <x v="345"/>
  </r>
  <r>
    <s v="U3350"/>
    <x v="47"/>
    <s v="India"/>
    <x v="0"/>
    <x v="5"/>
    <n v="108"/>
    <x v="191"/>
    <x v="1"/>
    <x v="1"/>
    <x v="0"/>
    <n v="47.51"/>
    <x v="346"/>
  </r>
  <r>
    <s v="U3352"/>
    <x v="38"/>
    <s v="USA"/>
    <x v="1"/>
    <x v="3"/>
    <n v="364"/>
    <x v="255"/>
    <x v="1"/>
    <x v="0"/>
    <x v="0"/>
    <n v="54.18"/>
    <x v="347"/>
  </r>
  <r>
    <s v="U3356"/>
    <x v="34"/>
    <s v="USA"/>
    <x v="3"/>
    <x v="5"/>
    <n v="190"/>
    <x v="193"/>
    <x v="1"/>
    <x v="1"/>
    <x v="1"/>
    <n v="28.35"/>
    <x v="348"/>
  </r>
  <r>
    <s v="U3390"/>
    <x v="8"/>
    <s v="UK"/>
    <x v="0"/>
    <x v="2"/>
    <n v="451"/>
    <x v="157"/>
    <x v="3"/>
    <x v="1"/>
    <x v="0"/>
    <n v="79.260000000000005"/>
    <x v="349"/>
  </r>
  <r>
    <s v="U3401"/>
    <x v="35"/>
    <s v="UK"/>
    <x v="5"/>
    <x v="5"/>
    <n v="509"/>
    <x v="256"/>
    <x v="4"/>
    <x v="0"/>
    <x v="0"/>
    <n v="17.82"/>
    <x v="350"/>
  </r>
  <r>
    <s v="U3404"/>
    <x v="46"/>
    <s v="UK"/>
    <x v="5"/>
    <x v="4"/>
    <n v="190"/>
    <x v="135"/>
    <x v="0"/>
    <x v="0"/>
    <x v="2"/>
    <n v="27.44"/>
    <x v="351"/>
  </r>
  <r>
    <s v="U3415"/>
    <x v="13"/>
    <s v="UK"/>
    <x v="2"/>
    <x v="1"/>
    <n v="278"/>
    <x v="257"/>
    <x v="0"/>
    <x v="1"/>
    <x v="0"/>
    <n v="21.02"/>
    <x v="352"/>
  </r>
  <r>
    <s v="U3422"/>
    <x v="10"/>
    <s v="Australia"/>
    <x v="5"/>
    <x v="4"/>
    <n v="566"/>
    <x v="29"/>
    <x v="0"/>
    <x v="1"/>
    <x v="0"/>
    <n v="69.349999999999994"/>
    <x v="353"/>
  </r>
  <r>
    <s v="U3427"/>
    <x v="21"/>
    <s v="USA"/>
    <x v="2"/>
    <x v="4"/>
    <n v="598"/>
    <x v="242"/>
    <x v="0"/>
    <x v="1"/>
    <x v="2"/>
    <n v="62.24"/>
    <x v="90"/>
  </r>
  <r>
    <s v="U3431"/>
    <x v="6"/>
    <s v="India"/>
    <x v="4"/>
    <x v="0"/>
    <n v="358"/>
    <x v="258"/>
    <x v="3"/>
    <x v="0"/>
    <x v="0"/>
    <n v="18.62"/>
    <x v="354"/>
  </r>
  <r>
    <s v="U3433"/>
    <x v="47"/>
    <s v="India"/>
    <x v="5"/>
    <x v="0"/>
    <n v="557"/>
    <x v="49"/>
    <x v="3"/>
    <x v="0"/>
    <x v="1"/>
    <n v="48.8"/>
    <x v="355"/>
  </r>
  <r>
    <s v="U3435"/>
    <x v="18"/>
    <s v="UK"/>
    <x v="0"/>
    <x v="4"/>
    <n v="496"/>
    <x v="259"/>
    <x v="2"/>
    <x v="0"/>
    <x v="1"/>
    <n v="79.84"/>
    <x v="356"/>
  </r>
  <r>
    <s v="U3444"/>
    <x v="31"/>
    <s v="Australia"/>
    <x v="2"/>
    <x v="0"/>
    <n v="68"/>
    <x v="68"/>
    <x v="4"/>
    <x v="1"/>
    <x v="2"/>
    <n v="43.12"/>
    <x v="357"/>
  </r>
  <r>
    <s v="U3449"/>
    <x v="15"/>
    <s v="Australia"/>
    <x v="0"/>
    <x v="1"/>
    <n v="588"/>
    <x v="15"/>
    <x v="1"/>
    <x v="1"/>
    <x v="1"/>
    <n v="20.91"/>
    <x v="358"/>
  </r>
  <r>
    <s v="U3452"/>
    <x v="5"/>
    <s v="South Korea"/>
    <x v="4"/>
    <x v="1"/>
    <n v="595"/>
    <x v="94"/>
    <x v="4"/>
    <x v="0"/>
    <x v="2"/>
    <n v="53.48"/>
    <x v="359"/>
  </r>
  <r>
    <s v="U3459"/>
    <x v="30"/>
    <s v="South Korea"/>
    <x v="4"/>
    <x v="2"/>
    <n v="567"/>
    <x v="114"/>
    <x v="4"/>
    <x v="0"/>
    <x v="1"/>
    <n v="17.829999999999998"/>
    <x v="360"/>
  </r>
  <r>
    <s v="U3461"/>
    <x v="37"/>
    <s v="India"/>
    <x v="5"/>
    <x v="5"/>
    <n v="256"/>
    <x v="260"/>
    <x v="4"/>
    <x v="1"/>
    <x v="1"/>
    <n v="84.81"/>
    <x v="361"/>
  </r>
  <r>
    <s v="U3468"/>
    <x v="32"/>
    <s v="UK"/>
    <x v="2"/>
    <x v="4"/>
    <n v="448"/>
    <x v="158"/>
    <x v="2"/>
    <x v="0"/>
    <x v="0"/>
    <n v="56.45"/>
    <x v="362"/>
  </r>
  <r>
    <s v="U3476"/>
    <x v="43"/>
    <s v="South Korea"/>
    <x v="2"/>
    <x v="1"/>
    <n v="161"/>
    <x v="213"/>
    <x v="1"/>
    <x v="1"/>
    <x v="0"/>
    <n v="22.35"/>
    <x v="363"/>
  </r>
  <r>
    <s v="U3484"/>
    <x v="36"/>
    <s v="UK"/>
    <x v="0"/>
    <x v="3"/>
    <n v="592"/>
    <x v="261"/>
    <x v="3"/>
    <x v="0"/>
    <x v="0"/>
    <n v="69.930000000000007"/>
    <x v="364"/>
  </r>
  <r>
    <s v="U3485"/>
    <x v="31"/>
    <s v="Australia"/>
    <x v="3"/>
    <x v="1"/>
    <n v="339"/>
    <x v="262"/>
    <x v="2"/>
    <x v="0"/>
    <x v="2"/>
    <n v="80.61"/>
    <x v="365"/>
  </r>
  <r>
    <s v="U3488"/>
    <x v="27"/>
    <s v="Australia"/>
    <x v="5"/>
    <x v="1"/>
    <n v="432"/>
    <x v="263"/>
    <x v="2"/>
    <x v="0"/>
    <x v="1"/>
    <n v="78.150000000000006"/>
    <x v="366"/>
  </r>
  <r>
    <s v="U3491"/>
    <x v="45"/>
    <s v="UK"/>
    <x v="5"/>
    <x v="4"/>
    <n v="501"/>
    <x v="227"/>
    <x v="0"/>
    <x v="1"/>
    <x v="2"/>
    <n v="34.83"/>
    <x v="367"/>
  </r>
  <r>
    <s v="U3494"/>
    <x v="12"/>
    <s v="South Korea"/>
    <x v="2"/>
    <x v="3"/>
    <n v="313"/>
    <x v="217"/>
    <x v="0"/>
    <x v="1"/>
    <x v="0"/>
    <n v="27.6"/>
    <x v="368"/>
  </r>
  <r>
    <s v="U3514"/>
    <x v="41"/>
    <s v="USA"/>
    <x v="5"/>
    <x v="2"/>
    <n v="326"/>
    <x v="155"/>
    <x v="0"/>
    <x v="0"/>
    <x v="1"/>
    <n v="35.79"/>
    <x v="369"/>
  </r>
  <r>
    <s v="U3521"/>
    <x v="12"/>
    <s v="UK"/>
    <x v="1"/>
    <x v="2"/>
    <n v="123"/>
    <x v="52"/>
    <x v="0"/>
    <x v="0"/>
    <x v="1"/>
    <n v="53.68"/>
    <x v="370"/>
  </r>
  <r>
    <s v="U3525"/>
    <x v="13"/>
    <s v="South Korea"/>
    <x v="1"/>
    <x v="1"/>
    <n v="500"/>
    <x v="179"/>
    <x v="0"/>
    <x v="1"/>
    <x v="0"/>
    <n v="45.88"/>
    <x v="371"/>
  </r>
  <r>
    <s v="U3526"/>
    <x v="11"/>
    <s v="Australia"/>
    <x v="1"/>
    <x v="0"/>
    <n v="322"/>
    <x v="117"/>
    <x v="4"/>
    <x v="0"/>
    <x v="0"/>
    <n v="53.45"/>
    <x v="372"/>
  </r>
  <r>
    <s v="U3527"/>
    <x v="36"/>
    <s v="UK"/>
    <x v="5"/>
    <x v="5"/>
    <n v="146"/>
    <x v="174"/>
    <x v="3"/>
    <x v="0"/>
    <x v="0"/>
    <n v="66.489999999999995"/>
    <x v="373"/>
  </r>
  <r>
    <s v="U3531"/>
    <x v="7"/>
    <s v="USA"/>
    <x v="3"/>
    <x v="0"/>
    <n v="239"/>
    <x v="264"/>
    <x v="0"/>
    <x v="1"/>
    <x v="1"/>
    <n v="81.83"/>
    <x v="374"/>
  </r>
  <r>
    <s v="U3534"/>
    <x v="27"/>
    <s v="UK"/>
    <x v="4"/>
    <x v="4"/>
    <n v="266"/>
    <x v="33"/>
    <x v="4"/>
    <x v="0"/>
    <x v="2"/>
    <n v="53.6"/>
    <x v="375"/>
  </r>
  <r>
    <s v="U3536"/>
    <x v="5"/>
    <s v="UK"/>
    <x v="0"/>
    <x v="2"/>
    <n v="177"/>
    <x v="156"/>
    <x v="4"/>
    <x v="0"/>
    <x v="1"/>
    <n v="37.979999999999997"/>
    <x v="376"/>
  </r>
  <r>
    <s v="U3540"/>
    <x v="38"/>
    <s v="UK"/>
    <x v="0"/>
    <x v="3"/>
    <n v="582"/>
    <x v="265"/>
    <x v="0"/>
    <x v="1"/>
    <x v="1"/>
    <n v="74.709999999999994"/>
    <x v="377"/>
  </r>
  <r>
    <s v="U3541"/>
    <x v="33"/>
    <s v="India"/>
    <x v="2"/>
    <x v="1"/>
    <n v="37"/>
    <x v="210"/>
    <x v="0"/>
    <x v="1"/>
    <x v="0"/>
    <n v="84.23"/>
    <x v="378"/>
  </r>
  <r>
    <s v="U3545"/>
    <x v="5"/>
    <s v="South Korea"/>
    <x v="1"/>
    <x v="1"/>
    <n v="127"/>
    <x v="266"/>
    <x v="1"/>
    <x v="0"/>
    <x v="1"/>
    <n v="68.78"/>
    <x v="379"/>
  </r>
  <r>
    <s v="U3558"/>
    <x v="37"/>
    <s v="India"/>
    <x v="4"/>
    <x v="2"/>
    <n v="297"/>
    <x v="10"/>
    <x v="4"/>
    <x v="0"/>
    <x v="0"/>
    <n v="66.73"/>
    <x v="380"/>
  </r>
  <r>
    <s v="U3563"/>
    <x v="16"/>
    <s v="USA"/>
    <x v="4"/>
    <x v="3"/>
    <n v="402"/>
    <x v="249"/>
    <x v="0"/>
    <x v="1"/>
    <x v="2"/>
    <n v="31.33"/>
    <x v="381"/>
  </r>
  <r>
    <s v="U3566"/>
    <x v="32"/>
    <s v="South Korea"/>
    <x v="5"/>
    <x v="0"/>
    <n v="444"/>
    <x v="267"/>
    <x v="2"/>
    <x v="0"/>
    <x v="2"/>
    <n v="85.34"/>
    <x v="146"/>
  </r>
  <r>
    <s v="U3569"/>
    <x v="33"/>
    <s v="South Korea"/>
    <x v="4"/>
    <x v="5"/>
    <n v="263"/>
    <x v="268"/>
    <x v="4"/>
    <x v="1"/>
    <x v="2"/>
    <n v="51.89"/>
    <x v="382"/>
  </r>
  <r>
    <s v="U3578"/>
    <x v="47"/>
    <s v="Australia"/>
    <x v="5"/>
    <x v="4"/>
    <n v="264"/>
    <x v="181"/>
    <x v="0"/>
    <x v="0"/>
    <x v="2"/>
    <n v="54.82"/>
    <x v="383"/>
  </r>
  <r>
    <s v="U3581"/>
    <x v="9"/>
    <s v="Australia"/>
    <x v="0"/>
    <x v="0"/>
    <n v="92"/>
    <x v="25"/>
    <x v="4"/>
    <x v="0"/>
    <x v="0"/>
    <n v="23.79"/>
    <x v="384"/>
  </r>
  <r>
    <s v="U3590"/>
    <x v="4"/>
    <s v="South Korea"/>
    <x v="3"/>
    <x v="3"/>
    <n v="223"/>
    <x v="98"/>
    <x v="3"/>
    <x v="0"/>
    <x v="1"/>
    <n v="46.23"/>
    <x v="385"/>
  </r>
  <r>
    <s v="U3614"/>
    <x v="6"/>
    <s v="Australia"/>
    <x v="5"/>
    <x v="5"/>
    <n v="188"/>
    <x v="105"/>
    <x v="1"/>
    <x v="1"/>
    <x v="1"/>
    <n v="88.65"/>
    <x v="386"/>
  </r>
  <r>
    <s v="U3615"/>
    <x v="29"/>
    <s v="South Korea"/>
    <x v="2"/>
    <x v="5"/>
    <n v="525"/>
    <x v="19"/>
    <x v="2"/>
    <x v="1"/>
    <x v="2"/>
    <n v="80.92"/>
    <x v="387"/>
  </r>
  <r>
    <s v="U3628"/>
    <x v="43"/>
    <s v="Australia"/>
    <x v="2"/>
    <x v="1"/>
    <n v="342"/>
    <x v="269"/>
    <x v="4"/>
    <x v="1"/>
    <x v="2"/>
    <n v="87.27"/>
    <x v="388"/>
  </r>
  <r>
    <s v="U3629"/>
    <x v="38"/>
    <s v="Australia"/>
    <x v="5"/>
    <x v="1"/>
    <n v="89"/>
    <x v="270"/>
    <x v="1"/>
    <x v="1"/>
    <x v="2"/>
    <n v="74.25"/>
    <x v="389"/>
  </r>
  <r>
    <s v="U3638"/>
    <x v="0"/>
    <s v="India"/>
    <x v="0"/>
    <x v="5"/>
    <n v="569"/>
    <x v="106"/>
    <x v="4"/>
    <x v="1"/>
    <x v="1"/>
    <n v="46.31"/>
    <x v="390"/>
  </r>
  <r>
    <s v="U3641"/>
    <x v="34"/>
    <s v="USA"/>
    <x v="4"/>
    <x v="4"/>
    <n v="316"/>
    <x v="271"/>
    <x v="4"/>
    <x v="0"/>
    <x v="0"/>
    <n v="21.46"/>
    <x v="139"/>
  </r>
  <r>
    <s v="U3650"/>
    <x v="44"/>
    <s v="UK"/>
    <x v="5"/>
    <x v="5"/>
    <n v="538"/>
    <x v="97"/>
    <x v="4"/>
    <x v="1"/>
    <x v="0"/>
    <n v="49.17"/>
    <x v="391"/>
  </r>
  <r>
    <s v="U3655"/>
    <x v="37"/>
    <s v="Australia"/>
    <x v="4"/>
    <x v="3"/>
    <n v="299"/>
    <x v="134"/>
    <x v="2"/>
    <x v="1"/>
    <x v="0"/>
    <n v="64.239999999999995"/>
    <x v="392"/>
  </r>
  <r>
    <s v="U3658"/>
    <x v="35"/>
    <s v="UK"/>
    <x v="2"/>
    <x v="2"/>
    <n v="365"/>
    <x v="268"/>
    <x v="3"/>
    <x v="1"/>
    <x v="2"/>
    <n v="30.26"/>
    <x v="393"/>
  </r>
  <r>
    <s v="U3663"/>
    <x v="10"/>
    <s v="UK"/>
    <x v="3"/>
    <x v="3"/>
    <n v="129"/>
    <x v="272"/>
    <x v="3"/>
    <x v="1"/>
    <x v="1"/>
    <n v="46.87"/>
    <x v="394"/>
  </r>
  <r>
    <s v="U3669"/>
    <x v="18"/>
    <s v="South Korea"/>
    <x v="5"/>
    <x v="2"/>
    <n v="333"/>
    <x v="217"/>
    <x v="3"/>
    <x v="1"/>
    <x v="2"/>
    <n v="87.63"/>
    <x v="395"/>
  </r>
  <r>
    <s v="U3674"/>
    <x v="15"/>
    <s v="USA"/>
    <x v="1"/>
    <x v="5"/>
    <n v="316"/>
    <x v="273"/>
    <x v="3"/>
    <x v="1"/>
    <x v="0"/>
    <n v="81.33"/>
    <x v="396"/>
  </r>
  <r>
    <s v="U3676"/>
    <x v="23"/>
    <s v="South Korea"/>
    <x v="3"/>
    <x v="4"/>
    <n v="470"/>
    <x v="274"/>
    <x v="3"/>
    <x v="1"/>
    <x v="1"/>
    <n v="57.14"/>
    <x v="397"/>
  </r>
  <r>
    <s v="U3677"/>
    <x v="17"/>
    <s v="UK"/>
    <x v="5"/>
    <x v="5"/>
    <n v="564"/>
    <x v="275"/>
    <x v="0"/>
    <x v="0"/>
    <x v="0"/>
    <n v="56.19"/>
    <x v="398"/>
  </r>
  <r>
    <s v="U3689"/>
    <x v="22"/>
    <s v="India"/>
    <x v="1"/>
    <x v="1"/>
    <n v="141"/>
    <x v="264"/>
    <x v="4"/>
    <x v="1"/>
    <x v="0"/>
    <n v="56.73"/>
    <x v="399"/>
  </r>
  <r>
    <s v="U3694"/>
    <x v="45"/>
    <s v="USA"/>
    <x v="4"/>
    <x v="1"/>
    <n v="484"/>
    <x v="276"/>
    <x v="2"/>
    <x v="1"/>
    <x v="2"/>
    <n v="62.72"/>
    <x v="13"/>
  </r>
  <r>
    <s v="U3697"/>
    <x v="26"/>
    <s v="UK"/>
    <x v="4"/>
    <x v="3"/>
    <n v="54"/>
    <x v="277"/>
    <x v="4"/>
    <x v="0"/>
    <x v="1"/>
    <n v="19.66"/>
    <x v="400"/>
  </r>
  <r>
    <s v="U3699"/>
    <x v="0"/>
    <s v="Australia"/>
    <x v="0"/>
    <x v="1"/>
    <n v="498"/>
    <x v="108"/>
    <x v="3"/>
    <x v="0"/>
    <x v="0"/>
    <n v="88.11"/>
    <x v="401"/>
  </r>
  <r>
    <s v="U3703"/>
    <x v="2"/>
    <s v="India"/>
    <x v="3"/>
    <x v="3"/>
    <n v="105"/>
    <x v="227"/>
    <x v="2"/>
    <x v="1"/>
    <x v="0"/>
    <n v="52.71"/>
    <x v="402"/>
  </r>
  <r>
    <s v="U3704"/>
    <x v="38"/>
    <s v="Australia"/>
    <x v="3"/>
    <x v="2"/>
    <n v="414"/>
    <x v="278"/>
    <x v="4"/>
    <x v="1"/>
    <x v="2"/>
    <n v="66.06"/>
    <x v="403"/>
  </r>
  <r>
    <s v="U3723"/>
    <x v="39"/>
    <s v="USA"/>
    <x v="4"/>
    <x v="3"/>
    <n v="131"/>
    <x v="85"/>
    <x v="0"/>
    <x v="0"/>
    <x v="2"/>
    <n v="39.729999999999997"/>
    <x v="404"/>
  </r>
  <r>
    <s v="U3735"/>
    <x v="31"/>
    <s v="Australia"/>
    <x v="5"/>
    <x v="3"/>
    <n v="149"/>
    <x v="109"/>
    <x v="2"/>
    <x v="1"/>
    <x v="2"/>
    <n v="15.72"/>
    <x v="405"/>
  </r>
  <r>
    <s v="U3743"/>
    <x v="45"/>
    <s v="South Korea"/>
    <x v="5"/>
    <x v="0"/>
    <n v="33"/>
    <x v="11"/>
    <x v="0"/>
    <x v="0"/>
    <x v="1"/>
    <n v="14.05"/>
    <x v="406"/>
  </r>
  <r>
    <s v="U3744"/>
    <x v="38"/>
    <s v="USA"/>
    <x v="0"/>
    <x v="3"/>
    <n v="514"/>
    <x v="279"/>
    <x v="2"/>
    <x v="0"/>
    <x v="1"/>
    <n v="43.44"/>
    <x v="407"/>
  </r>
  <r>
    <s v="U3746"/>
    <x v="9"/>
    <s v="UK"/>
    <x v="3"/>
    <x v="1"/>
    <n v="537"/>
    <x v="280"/>
    <x v="1"/>
    <x v="1"/>
    <x v="0"/>
    <n v="62.16"/>
    <x v="408"/>
  </r>
  <r>
    <s v="U3758"/>
    <x v="19"/>
    <s v="USA"/>
    <x v="1"/>
    <x v="1"/>
    <n v="254"/>
    <x v="258"/>
    <x v="4"/>
    <x v="0"/>
    <x v="0"/>
    <n v="26.67"/>
    <x v="409"/>
  </r>
  <r>
    <s v="U3761"/>
    <x v="6"/>
    <s v="UK"/>
    <x v="3"/>
    <x v="2"/>
    <n v="500"/>
    <x v="239"/>
    <x v="4"/>
    <x v="1"/>
    <x v="2"/>
    <n v="46.72"/>
    <x v="410"/>
  </r>
  <r>
    <s v="U3780"/>
    <x v="30"/>
    <s v="Australia"/>
    <x v="2"/>
    <x v="3"/>
    <n v="101"/>
    <x v="281"/>
    <x v="0"/>
    <x v="0"/>
    <x v="2"/>
    <n v="78.31"/>
    <x v="411"/>
  </r>
  <r>
    <s v="U3787"/>
    <x v="12"/>
    <s v="UK"/>
    <x v="3"/>
    <x v="2"/>
    <n v="435"/>
    <x v="77"/>
    <x v="4"/>
    <x v="1"/>
    <x v="0"/>
    <n v="85.2"/>
    <x v="412"/>
  </r>
  <r>
    <s v="U3789"/>
    <x v="30"/>
    <s v="USA"/>
    <x v="4"/>
    <x v="3"/>
    <n v="67"/>
    <x v="35"/>
    <x v="2"/>
    <x v="1"/>
    <x v="2"/>
    <n v="21"/>
    <x v="413"/>
  </r>
  <r>
    <s v="U3798"/>
    <x v="46"/>
    <s v="Australia"/>
    <x v="3"/>
    <x v="2"/>
    <n v="29"/>
    <x v="117"/>
    <x v="0"/>
    <x v="0"/>
    <x v="1"/>
    <n v="54.73"/>
    <x v="414"/>
  </r>
  <r>
    <s v="U3807"/>
    <x v="17"/>
    <s v="UK"/>
    <x v="3"/>
    <x v="4"/>
    <n v="199"/>
    <x v="282"/>
    <x v="4"/>
    <x v="0"/>
    <x v="1"/>
    <n v="49.46"/>
    <x v="415"/>
  </r>
  <r>
    <s v="U3816"/>
    <x v="9"/>
    <s v="India"/>
    <x v="4"/>
    <x v="2"/>
    <n v="124"/>
    <x v="70"/>
    <x v="1"/>
    <x v="0"/>
    <x v="1"/>
    <n v="57.57"/>
    <x v="116"/>
  </r>
  <r>
    <s v="U3819"/>
    <x v="26"/>
    <s v="Australia"/>
    <x v="5"/>
    <x v="1"/>
    <n v="416"/>
    <x v="259"/>
    <x v="0"/>
    <x v="0"/>
    <x v="1"/>
    <n v="48.71"/>
    <x v="416"/>
  </r>
  <r>
    <s v="U3823"/>
    <x v="36"/>
    <s v="USA"/>
    <x v="5"/>
    <x v="1"/>
    <n v="110"/>
    <x v="244"/>
    <x v="2"/>
    <x v="0"/>
    <x v="1"/>
    <n v="20.14"/>
    <x v="417"/>
  </r>
  <r>
    <s v="U3829"/>
    <x v="17"/>
    <s v="UK"/>
    <x v="4"/>
    <x v="1"/>
    <n v="265"/>
    <x v="0"/>
    <x v="1"/>
    <x v="0"/>
    <x v="1"/>
    <n v="80.739999999999995"/>
    <x v="418"/>
  </r>
  <r>
    <s v="U3831"/>
    <x v="44"/>
    <s v="India"/>
    <x v="1"/>
    <x v="5"/>
    <n v="28"/>
    <x v="138"/>
    <x v="4"/>
    <x v="1"/>
    <x v="1"/>
    <n v="13.15"/>
    <x v="419"/>
  </r>
  <r>
    <s v="U3853"/>
    <x v="13"/>
    <s v="Australia"/>
    <x v="5"/>
    <x v="1"/>
    <n v="488"/>
    <x v="283"/>
    <x v="4"/>
    <x v="0"/>
    <x v="2"/>
    <n v="15.42"/>
    <x v="76"/>
  </r>
  <r>
    <s v="U3862"/>
    <x v="18"/>
    <s v="Australia"/>
    <x v="2"/>
    <x v="5"/>
    <n v="93"/>
    <x v="239"/>
    <x v="4"/>
    <x v="1"/>
    <x v="2"/>
    <n v="75.02"/>
    <x v="420"/>
  </r>
  <r>
    <s v="U3864"/>
    <x v="3"/>
    <s v="UK"/>
    <x v="1"/>
    <x v="2"/>
    <n v="358"/>
    <x v="208"/>
    <x v="2"/>
    <x v="1"/>
    <x v="2"/>
    <n v="46.76"/>
    <x v="421"/>
  </r>
  <r>
    <s v="U3865"/>
    <x v="20"/>
    <s v="Australia"/>
    <x v="2"/>
    <x v="5"/>
    <n v="507"/>
    <x v="76"/>
    <x v="1"/>
    <x v="0"/>
    <x v="2"/>
    <n v="84.12"/>
    <x v="422"/>
  </r>
  <r>
    <s v="U3866"/>
    <x v="42"/>
    <s v="UK"/>
    <x v="5"/>
    <x v="1"/>
    <n v="357"/>
    <x v="284"/>
    <x v="4"/>
    <x v="1"/>
    <x v="0"/>
    <n v="47.1"/>
    <x v="423"/>
  </r>
  <r>
    <s v="U3870"/>
    <x v="19"/>
    <s v="India"/>
    <x v="0"/>
    <x v="0"/>
    <n v="82"/>
    <x v="159"/>
    <x v="4"/>
    <x v="1"/>
    <x v="1"/>
    <n v="88.96"/>
    <x v="424"/>
  </r>
  <r>
    <s v="U3871"/>
    <x v="5"/>
    <s v="India"/>
    <x v="4"/>
    <x v="5"/>
    <n v="33"/>
    <x v="285"/>
    <x v="1"/>
    <x v="0"/>
    <x v="1"/>
    <n v="42.02"/>
    <x v="425"/>
  </r>
  <r>
    <s v="U3874"/>
    <x v="38"/>
    <s v="USA"/>
    <x v="4"/>
    <x v="0"/>
    <n v="562"/>
    <x v="272"/>
    <x v="4"/>
    <x v="1"/>
    <x v="2"/>
    <n v="25.67"/>
    <x v="426"/>
  </r>
  <r>
    <s v="U3875"/>
    <x v="0"/>
    <s v="South Korea"/>
    <x v="3"/>
    <x v="1"/>
    <n v="199"/>
    <x v="70"/>
    <x v="0"/>
    <x v="1"/>
    <x v="1"/>
    <n v="24.54"/>
    <x v="427"/>
  </r>
  <r>
    <s v="U3876"/>
    <x v="42"/>
    <s v="South Korea"/>
    <x v="0"/>
    <x v="0"/>
    <n v="32"/>
    <x v="212"/>
    <x v="4"/>
    <x v="0"/>
    <x v="0"/>
    <n v="17.23"/>
    <x v="428"/>
  </r>
  <r>
    <s v="U3882"/>
    <x v="31"/>
    <s v="USA"/>
    <x v="2"/>
    <x v="2"/>
    <n v="282"/>
    <x v="215"/>
    <x v="1"/>
    <x v="1"/>
    <x v="0"/>
    <n v="33.44"/>
    <x v="429"/>
  </r>
  <r>
    <s v="U3885"/>
    <x v="20"/>
    <s v="South Korea"/>
    <x v="5"/>
    <x v="1"/>
    <n v="596"/>
    <x v="78"/>
    <x v="0"/>
    <x v="1"/>
    <x v="2"/>
    <n v="87.98"/>
    <x v="430"/>
  </r>
  <r>
    <s v="U3889"/>
    <x v="1"/>
    <s v="USA"/>
    <x v="5"/>
    <x v="0"/>
    <n v="321"/>
    <x v="191"/>
    <x v="2"/>
    <x v="1"/>
    <x v="1"/>
    <n v="29.72"/>
    <x v="431"/>
  </r>
  <r>
    <s v="U3890"/>
    <x v="4"/>
    <s v="Australia"/>
    <x v="5"/>
    <x v="0"/>
    <n v="298"/>
    <x v="166"/>
    <x v="1"/>
    <x v="0"/>
    <x v="2"/>
    <n v="62.22"/>
    <x v="432"/>
  </r>
  <r>
    <s v="U3896"/>
    <x v="27"/>
    <s v="USA"/>
    <x v="2"/>
    <x v="0"/>
    <n v="114"/>
    <x v="122"/>
    <x v="3"/>
    <x v="1"/>
    <x v="2"/>
    <n v="14.98"/>
    <x v="433"/>
  </r>
  <r>
    <s v="U3904"/>
    <x v="16"/>
    <s v="Australia"/>
    <x v="0"/>
    <x v="5"/>
    <n v="283"/>
    <x v="91"/>
    <x v="4"/>
    <x v="1"/>
    <x v="2"/>
    <n v="26.68"/>
    <x v="434"/>
  </r>
  <r>
    <s v="U3908"/>
    <x v="10"/>
    <s v="South Korea"/>
    <x v="0"/>
    <x v="0"/>
    <n v="83"/>
    <x v="49"/>
    <x v="3"/>
    <x v="1"/>
    <x v="2"/>
    <n v="87.53"/>
    <x v="435"/>
  </r>
  <r>
    <s v="U3910"/>
    <x v="45"/>
    <s v="South Korea"/>
    <x v="2"/>
    <x v="4"/>
    <n v="245"/>
    <x v="286"/>
    <x v="3"/>
    <x v="0"/>
    <x v="1"/>
    <n v="68.87"/>
    <x v="436"/>
  </r>
  <r>
    <s v="U3913"/>
    <x v="42"/>
    <s v="Australia"/>
    <x v="4"/>
    <x v="4"/>
    <n v="458"/>
    <x v="105"/>
    <x v="4"/>
    <x v="1"/>
    <x v="0"/>
    <n v="76.95"/>
    <x v="437"/>
  </r>
  <r>
    <s v="U3915"/>
    <x v="24"/>
    <s v="Australia"/>
    <x v="3"/>
    <x v="5"/>
    <n v="587"/>
    <x v="150"/>
    <x v="3"/>
    <x v="0"/>
    <x v="1"/>
    <n v="25.65"/>
    <x v="438"/>
  </r>
  <r>
    <s v="U3927"/>
    <x v="18"/>
    <s v="South Korea"/>
    <x v="3"/>
    <x v="2"/>
    <n v="401"/>
    <x v="56"/>
    <x v="3"/>
    <x v="1"/>
    <x v="0"/>
    <n v="33.270000000000003"/>
    <x v="439"/>
  </r>
  <r>
    <s v="U3930"/>
    <x v="15"/>
    <s v="India"/>
    <x v="1"/>
    <x v="3"/>
    <n v="322"/>
    <x v="208"/>
    <x v="3"/>
    <x v="1"/>
    <x v="1"/>
    <n v="63.44"/>
    <x v="440"/>
  </r>
  <r>
    <s v="U3931"/>
    <x v="9"/>
    <s v="South Korea"/>
    <x v="5"/>
    <x v="4"/>
    <n v="221"/>
    <x v="42"/>
    <x v="3"/>
    <x v="0"/>
    <x v="2"/>
    <n v="79.03"/>
    <x v="441"/>
  </r>
  <r>
    <s v="U3934"/>
    <x v="26"/>
    <s v="USA"/>
    <x v="1"/>
    <x v="5"/>
    <n v="360"/>
    <x v="243"/>
    <x v="0"/>
    <x v="0"/>
    <x v="2"/>
    <n v="29.73"/>
    <x v="442"/>
  </r>
  <r>
    <s v="U3948"/>
    <x v="39"/>
    <s v="Australia"/>
    <x v="3"/>
    <x v="2"/>
    <n v="472"/>
    <x v="111"/>
    <x v="1"/>
    <x v="1"/>
    <x v="0"/>
    <n v="48.18"/>
    <x v="443"/>
  </r>
  <r>
    <s v="U3964"/>
    <x v="32"/>
    <s v="USA"/>
    <x v="0"/>
    <x v="3"/>
    <n v="495"/>
    <x v="287"/>
    <x v="4"/>
    <x v="0"/>
    <x v="2"/>
    <n v="61.3"/>
    <x v="444"/>
  </r>
  <r>
    <s v="U3965"/>
    <x v="26"/>
    <s v="UK"/>
    <x v="5"/>
    <x v="3"/>
    <n v="544"/>
    <x v="288"/>
    <x v="2"/>
    <x v="0"/>
    <x v="1"/>
    <n v="18.73"/>
    <x v="445"/>
  </r>
  <r>
    <s v="U3976"/>
    <x v="30"/>
    <s v="India"/>
    <x v="1"/>
    <x v="5"/>
    <n v="81"/>
    <x v="100"/>
    <x v="0"/>
    <x v="1"/>
    <x v="0"/>
    <n v="86.86"/>
    <x v="446"/>
  </r>
  <r>
    <s v="U3980"/>
    <x v="43"/>
    <s v="UK"/>
    <x v="3"/>
    <x v="4"/>
    <n v="481"/>
    <x v="151"/>
    <x v="4"/>
    <x v="0"/>
    <x v="1"/>
    <n v="65.73"/>
    <x v="447"/>
  </r>
  <r>
    <s v="U3981"/>
    <x v="16"/>
    <s v="South Korea"/>
    <x v="3"/>
    <x v="4"/>
    <n v="393"/>
    <x v="289"/>
    <x v="1"/>
    <x v="1"/>
    <x v="1"/>
    <n v="14.19"/>
    <x v="448"/>
  </r>
  <r>
    <s v="U4001"/>
    <x v="41"/>
    <s v="USA"/>
    <x v="2"/>
    <x v="4"/>
    <n v="238"/>
    <x v="290"/>
    <x v="4"/>
    <x v="0"/>
    <x v="0"/>
    <n v="55.01"/>
    <x v="449"/>
  </r>
  <r>
    <s v="U4008"/>
    <x v="3"/>
    <s v="India"/>
    <x v="0"/>
    <x v="1"/>
    <n v="362"/>
    <x v="150"/>
    <x v="2"/>
    <x v="0"/>
    <x v="1"/>
    <n v="60.09"/>
    <x v="450"/>
  </r>
  <r>
    <s v="U4012"/>
    <x v="26"/>
    <s v="USA"/>
    <x v="5"/>
    <x v="1"/>
    <n v="496"/>
    <x v="282"/>
    <x v="0"/>
    <x v="1"/>
    <x v="2"/>
    <n v="12.62"/>
    <x v="451"/>
  </r>
  <r>
    <s v="U4014"/>
    <x v="36"/>
    <s v="Australia"/>
    <x v="1"/>
    <x v="5"/>
    <n v="600"/>
    <x v="291"/>
    <x v="0"/>
    <x v="0"/>
    <x v="0"/>
    <n v="16.25"/>
    <x v="452"/>
  </r>
  <r>
    <s v="U4016"/>
    <x v="25"/>
    <s v="India"/>
    <x v="0"/>
    <x v="3"/>
    <n v="194"/>
    <x v="215"/>
    <x v="4"/>
    <x v="1"/>
    <x v="0"/>
    <n v="76.69"/>
    <x v="453"/>
  </r>
  <r>
    <s v="U4035"/>
    <x v="2"/>
    <s v="South Korea"/>
    <x v="4"/>
    <x v="5"/>
    <n v="264"/>
    <x v="292"/>
    <x v="0"/>
    <x v="0"/>
    <x v="1"/>
    <n v="85.79"/>
    <x v="454"/>
  </r>
  <r>
    <s v="U4045"/>
    <x v="0"/>
    <s v="UK"/>
    <x v="4"/>
    <x v="5"/>
    <n v="314"/>
    <x v="293"/>
    <x v="1"/>
    <x v="0"/>
    <x v="1"/>
    <n v="58.94"/>
    <x v="455"/>
  </r>
  <r>
    <s v="U4062"/>
    <x v="7"/>
    <s v="Australia"/>
    <x v="2"/>
    <x v="1"/>
    <n v="558"/>
    <x v="224"/>
    <x v="2"/>
    <x v="0"/>
    <x v="0"/>
    <n v="62.87"/>
    <x v="456"/>
  </r>
  <r>
    <s v="U4066"/>
    <x v="34"/>
    <s v="South Korea"/>
    <x v="0"/>
    <x v="2"/>
    <n v="501"/>
    <x v="139"/>
    <x v="3"/>
    <x v="0"/>
    <x v="1"/>
    <n v="54.08"/>
    <x v="457"/>
  </r>
  <r>
    <s v="U4072"/>
    <x v="9"/>
    <s v="India"/>
    <x v="0"/>
    <x v="3"/>
    <n v="483"/>
    <x v="294"/>
    <x v="4"/>
    <x v="0"/>
    <x v="1"/>
    <n v="29.43"/>
    <x v="458"/>
  </r>
  <r>
    <s v="U4086"/>
    <x v="41"/>
    <s v="India"/>
    <x v="4"/>
    <x v="2"/>
    <n v="288"/>
    <x v="295"/>
    <x v="0"/>
    <x v="0"/>
    <x v="2"/>
    <n v="72.02"/>
    <x v="459"/>
  </r>
  <r>
    <s v="U4088"/>
    <x v="28"/>
    <s v="Australia"/>
    <x v="0"/>
    <x v="1"/>
    <n v="42"/>
    <x v="296"/>
    <x v="3"/>
    <x v="0"/>
    <x v="0"/>
    <n v="87.86"/>
    <x v="460"/>
  </r>
  <r>
    <s v="U4097"/>
    <x v="31"/>
    <s v="USA"/>
    <x v="0"/>
    <x v="0"/>
    <n v="339"/>
    <x v="194"/>
    <x v="2"/>
    <x v="1"/>
    <x v="0"/>
    <n v="89.45"/>
    <x v="461"/>
  </r>
  <r>
    <s v="U4111"/>
    <x v="43"/>
    <s v="South Korea"/>
    <x v="4"/>
    <x v="2"/>
    <n v="356"/>
    <x v="238"/>
    <x v="2"/>
    <x v="0"/>
    <x v="0"/>
    <n v="57.5"/>
    <x v="462"/>
  </r>
  <r>
    <s v="U4115"/>
    <x v="43"/>
    <s v="UK"/>
    <x v="2"/>
    <x v="3"/>
    <n v="577"/>
    <x v="112"/>
    <x v="0"/>
    <x v="0"/>
    <x v="0"/>
    <n v="12.1"/>
    <x v="463"/>
  </r>
  <r>
    <s v="U4119"/>
    <x v="10"/>
    <s v="South Korea"/>
    <x v="0"/>
    <x v="3"/>
    <n v="481"/>
    <x v="125"/>
    <x v="4"/>
    <x v="1"/>
    <x v="2"/>
    <n v="85.34"/>
    <x v="464"/>
  </r>
  <r>
    <s v="U4120"/>
    <x v="46"/>
    <s v="Australia"/>
    <x v="0"/>
    <x v="4"/>
    <n v="185"/>
    <x v="297"/>
    <x v="1"/>
    <x v="0"/>
    <x v="0"/>
    <n v="32.380000000000003"/>
    <x v="465"/>
  </r>
  <r>
    <s v="U4131"/>
    <x v="11"/>
    <s v="India"/>
    <x v="0"/>
    <x v="2"/>
    <n v="166"/>
    <x v="206"/>
    <x v="0"/>
    <x v="0"/>
    <x v="1"/>
    <n v="40.409999999999997"/>
    <x v="466"/>
  </r>
  <r>
    <s v="U4132"/>
    <x v="34"/>
    <s v="UK"/>
    <x v="0"/>
    <x v="5"/>
    <n v="514"/>
    <x v="298"/>
    <x v="4"/>
    <x v="1"/>
    <x v="2"/>
    <n v="82.38"/>
    <x v="467"/>
  </r>
  <r>
    <s v="U4136"/>
    <x v="37"/>
    <s v="Australia"/>
    <x v="1"/>
    <x v="5"/>
    <n v="251"/>
    <x v="299"/>
    <x v="4"/>
    <x v="0"/>
    <x v="2"/>
    <n v="10.66"/>
    <x v="468"/>
  </r>
  <r>
    <s v="U4139"/>
    <x v="21"/>
    <s v="South Korea"/>
    <x v="3"/>
    <x v="3"/>
    <n v="308"/>
    <x v="300"/>
    <x v="4"/>
    <x v="0"/>
    <x v="1"/>
    <n v="32.53"/>
    <x v="469"/>
  </r>
  <r>
    <s v="U4140"/>
    <x v="0"/>
    <s v="Australia"/>
    <x v="3"/>
    <x v="3"/>
    <n v="92"/>
    <x v="289"/>
    <x v="1"/>
    <x v="1"/>
    <x v="2"/>
    <n v="68.97"/>
    <x v="470"/>
  </r>
  <r>
    <s v="U4155"/>
    <x v="40"/>
    <s v="Australia"/>
    <x v="2"/>
    <x v="1"/>
    <n v="158"/>
    <x v="301"/>
    <x v="3"/>
    <x v="0"/>
    <x v="2"/>
    <n v="88.85"/>
    <x v="471"/>
  </r>
  <r>
    <s v="U4156"/>
    <x v="35"/>
    <s v="USA"/>
    <x v="2"/>
    <x v="0"/>
    <n v="593"/>
    <x v="302"/>
    <x v="0"/>
    <x v="1"/>
    <x v="0"/>
    <n v="28.82"/>
    <x v="472"/>
  </r>
  <r>
    <s v="U4159"/>
    <x v="36"/>
    <s v="India"/>
    <x v="3"/>
    <x v="5"/>
    <n v="489"/>
    <x v="298"/>
    <x v="1"/>
    <x v="0"/>
    <x v="1"/>
    <n v="76.59"/>
    <x v="473"/>
  </r>
  <r>
    <s v="U4160"/>
    <x v="40"/>
    <s v="India"/>
    <x v="2"/>
    <x v="3"/>
    <n v="336"/>
    <x v="303"/>
    <x v="4"/>
    <x v="0"/>
    <x v="2"/>
    <n v="51.29"/>
    <x v="474"/>
  </r>
  <r>
    <s v="U4164"/>
    <x v="38"/>
    <s v="USA"/>
    <x v="4"/>
    <x v="0"/>
    <n v="544"/>
    <x v="255"/>
    <x v="3"/>
    <x v="0"/>
    <x v="1"/>
    <n v="76.099999999999994"/>
    <x v="475"/>
  </r>
  <r>
    <s v="U4169"/>
    <x v="29"/>
    <s v="South Korea"/>
    <x v="5"/>
    <x v="3"/>
    <n v="266"/>
    <x v="304"/>
    <x v="1"/>
    <x v="1"/>
    <x v="2"/>
    <n v="61.98"/>
    <x v="476"/>
  </r>
  <r>
    <s v="U4184"/>
    <x v="17"/>
    <s v="South Korea"/>
    <x v="4"/>
    <x v="4"/>
    <n v="238"/>
    <x v="237"/>
    <x v="3"/>
    <x v="0"/>
    <x v="0"/>
    <n v="48.12"/>
    <x v="477"/>
  </r>
  <r>
    <s v="U4185"/>
    <x v="9"/>
    <s v="USA"/>
    <x v="1"/>
    <x v="5"/>
    <n v="211"/>
    <x v="305"/>
    <x v="0"/>
    <x v="1"/>
    <x v="2"/>
    <n v="89.7"/>
    <x v="478"/>
  </r>
  <r>
    <s v="U4187"/>
    <x v="10"/>
    <s v="Australia"/>
    <x v="3"/>
    <x v="3"/>
    <n v="37"/>
    <x v="291"/>
    <x v="1"/>
    <x v="1"/>
    <x v="0"/>
    <n v="37.15"/>
    <x v="479"/>
  </r>
  <r>
    <s v="U4188"/>
    <x v="41"/>
    <s v="Australia"/>
    <x v="1"/>
    <x v="3"/>
    <n v="428"/>
    <x v="306"/>
    <x v="3"/>
    <x v="0"/>
    <x v="1"/>
    <n v="84.9"/>
    <x v="480"/>
  </r>
  <r>
    <s v="U4195"/>
    <x v="35"/>
    <s v="India"/>
    <x v="1"/>
    <x v="1"/>
    <n v="147"/>
    <x v="193"/>
    <x v="1"/>
    <x v="0"/>
    <x v="0"/>
    <n v="78.36"/>
    <x v="481"/>
  </r>
  <r>
    <s v="U4198"/>
    <x v="18"/>
    <s v="Australia"/>
    <x v="2"/>
    <x v="0"/>
    <n v="161"/>
    <x v="211"/>
    <x v="3"/>
    <x v="0"/>
    <x v="1"/>
    <n v="42.72"/>
    <x v="19"/>
  </r>
  <r>
    <s v="U4200"/>
    <x v="26"/>
    <s v="UK"/>
    <x v="1"/>
    <x v="0"/>
    <n v="40"/>
    <x v="54"/>
    <x v="3"/>
    <x v="0"/>
    <x v="1"/>
    <n v="79.540000000000006"/>
    <x v="482"/>
  </r>
  <r>
    <s v="U4203"/>
    <x v="7"/>
    <s v="India"/>
    <x v="1"/>
    <x v="1"/>
    <n v="407"/>
    <x v="278"/>
    <x v="0"/>
    <x v="0"/>
    <x v="0"/>
    <n v="32.78"/>
    <x v="483"/>
  </r>
  <r>
    <s v="U4205"/>
    <x v="8"/>
    <s v="India"/>
    <x v="0"/>
    <x v="3"/>
    <n v="340"/>
    <x v="206"/>
    <x v="0"/>
    <x v="0"/>
    <x v="2"/>
    <n v="23.17"/>
    <x v="484"/>
  </r>
  <r>
    <s v="U4210"/>
    <x v="7"/>
    <s v="USA"/>
    <x v="5"/>
    <x v="5"/>
    <n v="119"/>
    <x v="307"/>
    <x v="1"/>
    <x v="1"/>
    <x v="2"/>
    <n v="40.700000000000003"/>
    <x v="485"/>
  </r>
  <r>
    <s v="U4214"/>
    <x v="5"/>
    <s v="USA"/>
    <x v="5"/>
    <x v="1"/>
    <n v="475"/>
    <x v="30"/>
    <x v="2"/>
    <x v="1"/>
    <x v="1"/>
    <n v="25.26"/>
    <x v="486"/>
  </r>
  <r>
    <s v="U4223"/>
    <x v="43"/>
    <s v="Australia"/>
    <x v="5"/>
    <x v="2"/>
    <n v="291"/>
    <x v="19"/>
    <x v="2"/>
    <x v="1"/>
    <x v="1"/>
    <n v="61.61"/>
    <x v="487"/>
  </r>
  <r>
    <s v="U4230"/>
    <x v="38"/>
    <s v="Australia"/>
    <x v="3"/>
    <x v="5"/>
    <n v="333"/>
    <x v="55"/>
    <x v="1"/>
    <x v="1"/>
    <x v="2"/>
    <n v="79.150000000000006"/>
    <x v="329"/>
  </r>
  <r>
    <s v="U4246"/>
    <x v="34"/>
    <s v="USA"/>
    <x v="4"/>
    <x v="3"/>
    <n v="422"/>
    <x v="308"/>
    <x v="3"/>
    <x v="1"/>
    <x v="2"/>
    <n v="87.27"/>
    <x v="488"/>
  </r>
  <r>
    <s v="U4255"/>
    <x v="36"/>
    <s v="UK"/>
    <x v="4"/>
    <x v="5"/>
    <n v="259"/>
    <x v="170"/>
    <x v="3"/>
    <x v="1"/>
    <x v="0"/>
    <n v="47.43"/>
    <x v="489"/>
  </r>
  <r>
    <s v="U4259"/>
    <x v="25"/>
    <s v="UK"/>
    <x v="4"/>
    <x v="0"/>
    <n v="365"/>
    <x v="112"/>
    <x v="3"/>
    <x v="1"/>
    <x v="1"/>
    <n v="10.38"/>
    <x v="490"/>
  </r>
  <r>
    <s v="U4262"/>
    <x v="38"/>
    <s v="UK"/>
    <x v="2"/>
    <x v="2"/>
    <n v="349"/>
    <x v="125"/>
    <x v="0"/>
    <x v="0"/>
    <x v="1"/>
    <n v="13.91"/>
    <x v="455"/>
  </r>
  <r>
    <s v="U4264"/>
    <x v="11"/>
    <s v="UK"/>
    <x v="0"/>
    <x v="1"/>
    <n v="71"/>
    <x v="309"/>
    <x v="2"/>
    <x v="0"/>
    <x v="1"/>
    <n v="64.14"/>
    <x v="491"/>
  </r>
  <r>
    <s v="U4265"/>
    <x v="28"/>
    <s v="India"/>
    <x v="4"/>
    <x v="3"/>
    <n v="417"/>
    <x v="258"/>
    <x v="3"/>
    <x v="1"/>
    <x v="1"/>
    <n v="76.73"/>
    <x v="492"/>
  </r>
  <r>
    <s v="U4270"/>
    <x v="17"/>
    <s v="India"/>
    <x v="3"/>
    <x v="3"/>
    <n v="413"/>
    <x v="310"/>
    <x v="1"/>
    <x v="1"/>
    <x v="0"/>
    <n v="23.25"/>
    <x v="493"/>
  </r>
  <r>
    <s v="U4273"/>
    <x v="47"/>
    <s v="USA"/>
    <x v="1"/>
    <x v="3"/>
    <n v="308"/>
    <x v="299"/>
    <x v="1"/>
    <x v="0"/>
    <x v="0"/>
    <n v="40.880000000000003"/>
    <x v="494"/>
  </r>
  <r>
    <s v="U4283"/>
    <x v="23"/>
    <s v="India"/>
    <x v="4"/>
    <x v="1"/>
    <n v="24"/>
    <x v="158"/>
    <x v="0"/>
    <x v="1"/>
    <x v="2"/>
    <n v="81.569999999999993"/>
    <x v="495"/>
  </r>
  <r>
    <s v="U4298"/>
    <x v="36"/>
    <s v="UK"/>
    <x v="1"/>
    <x v="2"/>
    <n v="431"/>
    <x v="311"/>
    <x v="2"/>
    <x v="1"/>
    <x v="2"/>
    <n v="10.199999999999999"/>
    <x v="496"/>
  </r>
  <r>
    <s v="U4299"/>
    <x v="25"/>
    <s v="India"/>
    <x v="5"/>
    <x v="3"/>
    <n v="420"/>
    <x v="125"/>
    <x v="2"/>
    <x v="0"/>
    <x v="2"/>
    <n v="44.35"/>
    <x v="497"/>
  </r>
  <r>
    <s v="U4300"/>
    <x v="45"/>
    <s v="USA"/>
    <x v="2"/>
    <x v="2"/>
    <n v="358"/>
    <x v="89"/>
    <x v="0"/>
    <x v="1"/>
    <x v="0"/>
    <n v="18.86"/>
    <x v="498"/>
  </r>
  <r>
    <s v="U4304"/>
    <x v="21"/>
    <s v="South Korea"/>
    <x v="3"/>
    <x v="1"/>
    <n v="246"/>
    <x v="312"/>
    <x v="4"/>
    <x v="0"/>
    <x v="0"/>
    <n v="87.16"/>
    <x v="499"/>
  </r>
  <r>
    <s v="U4306"/>
    <x v="16"/>
    <s v="Australia"/>
    <x v="1"/>
    <x v="4"/>
    <n v="240"/>
    <x v="146"/>
    <x v="0"/>
    <x v="1"/>
    <x v="1"/>
    <n v="52.36"/>
    <x v="500"/>
  </r>
  <r>
    <s v="U4313"/>
    <x v="21"/>
    <s v="Australia"/>
    <x v="5"/>
    <x v="3"/>
    <n v="495"/>
    <x v="44"/>
    <x v="1"/>
    <x v="1"/>
    <x v="0"/>
    <n v="85.29"/>
    <x v="501"/>
  </r>
  <r>
    <s v="U4320"/>
    <x v="44"/>
    <s v="India"/>
    <x v="3"/>
    <x v="4"/>
    <n v="275"/>
    <x v="167"/>
    <x v="1"/>
    <x v="0"/>
    <x v="0"/>
    <n v="43.53"/>
    <x v="502"/>
  </r>
  <r>
    <s v="U4333"/>
    <x v="6"/>
    <s v="USA"/>
    <x v="5"/>
    <x v="5"/>
    <n v="325"/>
    <x v="66"/>
    <x v="3"/>
    <x v="0"/>
    <x v="2"/>
    <n v="15.98"/>
    <x v="503"/>
  </r>
  <r>
    <s v="U4339"/>
    <x v="31"/>
    <s v="UK"/>
    <x v="5"/>
    <x v="2"/>
    <n v="284"/>
    <x v="313"/>
    <x v="2"/>
    <x v="1"/>
    <x v="0"/>
    <n v="64.27"/>
    <x v="504"/>
  </r>
  <r>
    <s v="U4342"/>
    <x v="43"/>
    <s v="USA"/>
    <x v="0"/>
    <x v="2"/>
    <n v="568"/>
    <x v="314"/>
    <x v="2"/>
    <x v="0"/>
    <x v="0"/>
    <n v="63.91"/>
    <x v="505"/>
  </r>
  <r>
    <s v="U4345"/>
    <x v="2"/>
    <s v="Australia"/>
    <x v="4"/>
    <x v="3"/>
    <n v="25"/>
    <x v="315"/>
    <x v="1"/>
    <x v="1"/>
    <x v="1"/>
    <n v="70.95"/>
    <x v="506"/>
  </r>
  <r>
    <s v="U4347"/>
    <x v="15"/>
    <s v="South Korea"/>
    <x v="4"/>
    <x v="3"/>
    <n v="450"/>
    <x v="259"/>
    <x v="3"/>
    <x v="0"/>
    <x v="0"/>
    <n v="13.05"/>
    <x v="507"/>
  </r>
  <r>
    <s v="U4349"/>
    <x v="5"/>
    <s v="South Korea"/>
    <x v="2"/>
    <x v="3"/>
    <n v="555"/>
    <x v="203"/>
    <x v="2"/>
    <x v="1"/>
    <x v="1"/>
    <n v="16.489999999999998"/>
    <x v="508"/>
  </r>
  <r>
    <s v="U4363"/>
    <x v="33"/>
    <s v="UK"/>
    <x v="0"/>
    <x v="1"/>
    <n v="154"/>
    <x v="39"/>
    <x v="3"/>
    <x v="0"/>
    <x v="1"/>
    <n v="66.680000000000007"/>
    <x v="509"/>
  </r>
  <r>
    <s v="U4365"/>
    <x v="36"/>
    <s v="South Korea"/>
    <x v="3"/>
    <x v="2"/>
    <n v="521"/>
    <x v="190"/>
    <x v="3"/>
    <x v="1"/>
    <x v="0"/>
    <n v="73.97"/>
    <x v="510"/>
  </r>
  <r>
    <s v="U4367"/>
    <x v="27"/>
    <s v="UK"/>
    <x v="2"/>
    <x v="5"/>
    <n v="411"/>
    <x v="316"/>
    <x v="1"/>
    <x v="0"/>
    <x v="2"/>
    <n v="71.819999999999993"/>
    <x v="511"/>
  </r>
  <r>
    <s v="U4379"/>
    <x v="41"/>
    <s v="India"/>
    <x v="0"/>
    <x v="4"/>
    <n v="108"/>
    <x v="117"/>
    <x v="4"/>
    <x v="1"/>
    <x v="0"/>
    <n v="32.04"/>
    <x v="246"/>
  </r>
  <r>
    <s v="U4380"/>
    <x v="21"/>
    <s v="India"/>
    <x v="1"/>
    <x v="4"/>
    <n v="481"/>
    <x v="271"/>
    <x v="1"/>
    <x v="0"/>
    <x v="2"/>
    <n v="73.239999999999995"/>
    <x v="512"/>
  </r>
  <r>
    <s v="U4397"/>
    <x v="6"/>
    <s v="UK"/>
    <x v="1"/>
    <x v="4"/>
    <n v="166"/>
    <x v="108"/>
    <x v="4"/>
    <x v="1"/>
    <x v="0"/>
    <n v="41.5"/>
    <x v="256"/>
  </r>
  <r>
    <s v="U4399"/>
    <x v="0"/>
    <s v="Australia"/>
    <x v="0"/>
    <x v="3"/>
    <n v="222"/>
    <x v="317"/>
    <x v="2"/>
    <x v="0"/>
    <x v="2"/>
    <n v="66.91"/>
    <x v="513"/>
  </r>
  <r>
    <s v="U4406"/>
    <x v="2"/>
    <s v="Australia"/>
    <x v="0"/>
    <x v="0"/>
    <n v="220"/>
    <x v="254"/>
    <x v="1"/>
    <x v="0"/>
    <x v="1"/>
    <n v="30.46"/>
    <x v="514"/>
  </r>
  <r>
    <s v="U4412"/>
    <x v="7"/>
    <s v="USA"/>
    <x v="4"/>
    <x v="2"/>
    <n v="541"/>
    <x v="318"/>
    <x v="1"/>
    <x v="0"/>
    <x v="1"/>
    <n v="46.38"/>
    <x v="515"/>
  </r>
  <r>
    <s v="U4416"/>
    <x v="2"/>
    <s v="Australia"/>
    <x v="2"/>
    <x v="0"/>
    <n v="71"/>
    <x v="319"/>
    <x v="0"/>
    <x v="1"/>
    <x v="0"/>
    <n v="33.909999999999997"/>
    <x v="516"/>
  </r>
  <r>
    <s v="U4420"/>
    <x v="39"/>
    <s v="South Korea"/>
    <x v="0"/>
    <x v="4"/>
    <n v="471"/>
    <x v="180"/>
    <x v="2"/>
    <x v="1"/>
    <x v="1"/>
    <n v="47.74"/>
    <x v="517"/>
  </r>
  <r>
    <s v="U4437"/>
    <x v="21"/>
    <s v="South Korea"/>
    <x v="5"/>
    <x v="3"/>
    <n v="318"/>
    <x v="101"/>
    <x v="0"/>
    <x v="1"/>
    <x v="1"/>
    <n v="61.58"/>
    <x v="518"/>
  </r>
  <r>
    <s v="U4445"/>
    <x v="34"/>
    <s v="South Korea"/>
    <x v="2"/>
    <x v="2"/>
    <n v="173"/>
    <x v="222"/>
    <x v="3"/>
    <x v="0"/>
    <x v="2"/>
    <n v="60.06"/>
    <x v="519"/>
  </r>
  <r>
    <s v="U4455"/>
    <x v="36"/>
    <s v="India"/>
    <x v="1"/>
    <x v="3"/>
    <n v="98"/>
    <x v="112"/>
    <x v="0"/>
    <x v="0"/>
    <x v="2"/>
    <n v="37.369999999999997"/>
    <x v="520"/>
  </r>
  <r>
    <s v="U4463"/>
    <x v="36"/>
    <s v="USA"/>
    <x v="0"/>
    <x v="1"/>
    <n v="73"/>
    <x v="89"/>
    <x v="0"/>
    <x v="1"/>
    <x v="0"/>
    <n v="28.52"/>
    <x v="521"/>
  </r>
  <r>
    <s v="U4470"/>
    <x v="41"/>
    <s v="India"/>
    <x v="4"/>
    <x v="5"/>
    <n v="126"/>
    <x v="265"/>
    <x v="3"/>
    <x v="0"/>
    <x v="0"/>
    <n v="44.24"/>
    <x v="522"/>
  </r>
  <r>
    <s v="U4480"/>
    <x v="10"/>
    <s v="Australia"/>
    <x v="5"/>
    <x v="4"/>
    <n v="501"/>
    <x v="66"/>
    <x v="2"/>
    <x v="0"/>
    <x v="1"/>
    <n v="22.93"/>
    <x v="523"/>
  </r>
  <r>
    <s v="U4499"/>
    <x v="37"/>
    <s v="South Korea"/>
    <x v="4"/>
    <x v="2"/>
    <n v="247"/>
    <x v="2"/>
    <x v="3"/>
    <x v="0"/>
    <x v="1"/>
    <n v="81.2"/>
    <x v="524"/>
  </r>
  <r>
    <s v="U4507"/>
    <x v="26"/>
    <s v="India"/>
    <x v="0"/>
    <x v="0"/>
    <n v="93"/>
    <x v="88"/>
    <x v="2"/>
    <x v="0"/>
    <x v="1"/>
    <n v="88.59"/>
    <x v="525"/>
  </r>
  <r>
    <s v="U4516"/>
    <x v="4"/>
    <s v="USA"/>
    <x v="3"/>
    <x v="4"/>
    <n v="359"/>
    <x v="4"/>
    <x v="4"/>
    <x v="1"/>
    <x v="2"/>
    <n v="58.3"/>
    <x v="526"/>
  </r>
  <r>
    <s v="U4534"/>
    <x v="9"/>
    <s v="India"/>
    <x v="2"/>
    <x v="4"/>
    <n v="542"/>
    <x v="228"/>
    <x v="2"/>
    <x v="0"/>
    <x v="2"/>
    <n v="77.150000000000006"/>
    <x v="217"/>
  </r>
  <r>
    <s v="U4537"/>
    <x v="29"/>
    <s v="UK"/>
    <x v="1"/>
    <x v="4"/>
    <n v="58"/>
    <x v="93"/>
    <x v="1"/>
    <x v="1"/>
    <x v="0"/>
    <n v="47.89"/>
    <x v="527"/>
  </r>
  <r>
    <s v="U4543"/>
    <x v="32"/>
    <s v="USA"/>
    <x v="0"/>
    <x v="3"/>
    <n v="511"/>
    <x v="247"/>
    <x v="4"/>
    <x v="0"/>
    <x v="0"/>
    <n v="69.25"/>
    <x v="528"/>
  </r>
  <r>
    <s v="U4544"/>
    <x v="19"/>
    <s v="Australia"/>
    <x v="1"/>
    <x v="5"/>
    <n v="453"/>
    <x v="320"/>
    <x v="4"/>
    <x v="0"/>
    <x v="1"/>
    <n v="66.09"/>
    <x v="529"/>
  </r>
  <r>
    <s v="U4557"/>
    <x v="22"/>
    <s v="USA"/>
    <x v="5"/>
    <x v="5"/>
    <n v="245"/>
    <x v="321"/>
    <x v="3"/>
    <x v="1"/>
    <x v="0"/>
    <n v="43.98"/>
    <x v="530"/>
  </r>
  <r>
    <s v="U4566"/>
    <x v="11"/>
    <s v="Australia"/>
    <x v="4"/>
    <x v="2"/>
    <n v="517"/>
    <x v="322"/>
    <x v="3"/>
    <x v="0"/>
    <x v="2"/>
    <n v="66.86"/>
    <x v="531"/>
  </r>
  <r>
    <s v="U4568"/>
    <x v="9"/>
    <s v="Australia"/>
    <x v="5"/>
    <x v="4"/>
    <n v="207"/>
    <x v="107"/>
    <x v="0"/>
    <x v="0"/>
    <x v="0"/>
    <n v="85.84"/>
    <x v="532"/>
  </r>
  <r>
    <s v="U4578"/>
    <x v="36"/>
    <s v="USA"/>
    <x v="2"/>
    <x v="5"/>
    <n v="197"/>
    <x v="323"/>
    <x v="3"/>
    <x v="1"/>
    <x v="2"/>
    <n v="70.91"/>
    <x v="533"/>
  </r>
  <r>
    <s v="U4580"/>
    <x v="26"/>
    <s v="Australia"/>
    <x v="3"/>
    <x v="2"/>
    <n v="322"/>
    <x v="291"/>
    <x v="0"/>
    <x v="0"/>
    <x v="2"/>
    <n v="32.08"/>
    <x v="464"/>
  </r>
  <r>
    <s v="U4587"/>
    <x v="1"/>
    <s v="Australia"/>
    <x v="2"/>
    <x v="2"/>
    <n v="190"/>
    <x v="116"/>
    <x v="1"/>
    <x v="1"/>
    <x v="1"/>
    <n v="77.12"/>
    <x v="534"/>
  </r>
  <r>
    <s v="U4588"/>
    <x v="29"/>
    <s v="South Korea"/>
    <x v="3"/>
    <x v="4"/>
    <n v="386"/>
    <x v="35"/>
    <x v="4"/>
    <x v="1"/>
    <x v="0"/>
    <n v="41.87"/>
    <x v="535"/>
  </r>
  <r>
    <s v="U4596"/>
    <x v="46"/>
    <s v="UK"/>
    <x v="4"/>
    <x v="4"/>
    <n v="65"/>
    <x v="212"/>
    <x v="0"/>
    <x v="1"/>
    <x v="0"/>
    <n v="28.48"/>
    <x v="536"/>
  </r>
  <r>
    <s v="U4600"/>
    <x v="24"/>
    <s v="Australia"/>
    <x v="3"/>
    <x v="5"/>
    <n v="235"/>
    <x v="12"/>
    <x v="4"/>
    <x v="1"/>
    <x v="0"/>
    <n v="55.27"/>
    <x v="537"/>
  </r>
  <r>
    <s v="U4615"/>
    <x v="34"/>
    <s v="India"/>
    <x v="2"/>
    <x v="1"/>
    <n v="400"/>
    <x v="324"/>
    <x v="2"/>
    <x v="1"/>
    <x v="2"/>
    <n v="54.39"/>
    <x v="538"/>
  </r>
  <r>
    <s v="U4624"/>
    <x v="40"/>
    <s v="Australia"/>
    <x v="0"/>
    <x v="1"/>
    <n v="436"/>
    <x v="36"/>
    <x v="1"/>
    <x v="1"/>
    <x v="1"/>
    <n v="27.04"/>
    <x v="539"/>
  </r>
  <r>
    <s v="U4628"/>
    <x v="3"/>
    <s v="USA"/>
    <x v="5"/>
    <x v="4"/>
    <n v="599"/>
    <x v="325"/>
    <x v="2"/>
    <x v="0"/>
    <x v="1"/>
    <n v="59.78"/>
    <x v="540"/>
  </r>
  <r>
    <s v="U4629"/>
    <x v="27"/>
    <s v="UK"/>
    <x v="4"/>
    <x v="5"/>
    <n v="491"/>
    <x v="239"/>
    <x v="4"/>
    <x v="0"/>
    <x v="1"/>
    <n v="74.5"/>
    <x v="541"/>
  </r>
  <r>
    <s v="U4635"/>
    <x v="20"/>
    <s v="India"/>
    <x v="3"/>
    <x v="4"/>
    <n v="497"/>
    <x v="299"/>
    <x v="4"/>
    <x v="1"/>
    <x v="2"/>
    <n v="31.38"/>
    <x v="542"/>
  </r>
  <r>
    <s v="U4637"/>
    <x v="36"/>
    <s v="India"/>
    <x v="2"/>
    <x v="1"/>
    <n v="212"/>
    <x v="186"/>
    <x v="1"/>
    <x v="1"/>
    <x v="0"/>
    <n v="79.98"/>
    <x v="543"/>
  </r>
  <r>
    <s v="U4647"/>
    <x v="43"/>
    <s v="UK"/>
    <x v="5"/>
    <x v="1"/>
    <n v="391"/>
    <x v="326"/>
    <x v="3"/>
    <x v="1"/>
    <x v="2"/>
    <n v="44.21"/>
    <x v="544"/>
  </r>
  <r>
    <s v="U4650"/>
    <x v="18"/>
    <s v="UK"/>
    <x v="5"/>
    <x v="2"/>
    <n v="378"/>
    <x v="327"/>
    <x v="1"/>
    <x v="1"/>
    <x v="2"/>
    <n v="47.71"/>
    <x v="545"/>
  </r>
  <r>
    <s v="U4654"/>
    <x v="47"/>
    <s v="USA"/>
    <x v="1"/>
    <x v="2"/>
    <n v="211"/>
    <x v="141"/>
    <x v="0"/>
    <x v="0"/>
    <x v="2"/>
    <n v="78.930000000000007"/>
    <x v="546"/>
  </r>
  <r>
    <s v="U4671"/>
    <x v="47"/>
    <s v="South Korea"/>
    <x v="3"/>
    <x v="2"/>
    <n v="274"/>
    <x v="328"/>
    <x v="4"/>
    <x v="1"/>
    <x v="1"/>
    <n v="32.44"/>
    <x v="547"/>
  </r>
  <r>
    <s v="U4699"/>
    <x v="12"/>
    <s v="UK"/>
    <x v="4"/>
    <x v="2"/>
    <n v="286"/>
    <x v="182"/>
    <x v="4"/>
    <x v="1"/>
    <x v="2"/>
    <n v="20.76"/>
    <x v="548"/>
  </r>
  <r>
    <s v="U4706"/>
    <x v="1"/>
    <s v="UK"/>
    <x v="3"/>
    <x v="1"/>
    <n v="346"/>
    <x v="51"/>
    <x v="1"/>
    <x v="0"/>
    <x v="0"/>
    <n v="21.72"/>
    <x v="549"/>
  </r>
  <r>
    <s v="U4707"/>
    <x v="27"/>
    <s v="USA"/>
    <x v="3"/>
    <x v="0"/>
    <n v="363"/>
    <x v="95"/>
    <x v="1"/>
    <x v="1"/>
    <x v="0"/>
    <n v="32.14"/>
    <x v="550"/>
  </r>
  <r>
    <s v="U4718"/>
    <x v="15"/>
    <s v="UK"/>
    <x v="1"/>
    <x v="4"/>
    <n v="440"/>
    <x v="99"/>
    <x v="3"/>
    <x v="0"/>
    <x v="2"/>
    <n v="14.01"/>
    <x v="551"/>
  </r>
  <r>
    <s v="U4729"/>
    <x v="11"/>
    <s v="Australia"/>
    <x v="4"/>
    <x v="5"/>
    <n v="358"/>
    <x v="329"/>
    <x v="3"/>
    <x v="0"/>
    <x v="0"/>
    <n v="58.55"/>
    <x v="552"/>
  </r>
  <r>
    <s v="U4738"/>
    <x v="45"/>
    <s v="Australia"/>
    <x v="0"/>
    <x v="1"/>
    <n v="334"/>
    <x v="98"/>
    <x v="1"/>
    <x v="0"/>
    <x v="1"/>
    <n v="83.26"/>
    <x v="553"/>
  </r>
  <r>
    <s v="U4743"/>
    <x v="47"/>
    <s v="Australia"/>
    <x v="1"/>
    <x v="4"/>
    <n v="62"/>
    <x v="61"/>
    <x v="2"/>
    <x v="1"/>
    <x v="1"/>
    <n v="34.76"/>
    <x v="554"/>
  </r>
  <r>
    <s v="U4746"/>
    <x v="8"/>
    <s v="UK"/>
    <x v="3"/>
    <x v="2"/>
    <n v="388"/>
    <x v="150"/>
    <x v="0"/>
    <x v="0"/>
    <x v="2"/>
    <n v="59.32"/>
    <x v="555"/>
  </r>
  <r>
    <s v="U4755"/>
    <x v="15"/>
    <s v="USA"/>
    <x v="3"/>
    <x v="4"/>
    <n v="105"/>
    <x v="330"/>
    <x v="3"/>
    <x v="1"/>
    <x v="2"/>
    <n v="61.69"/>
    <x v="93"/>
  </r>
  <r>
    <s v="U4759"/>
    <x v="35"/>
    <s v="UK"/>
    <x v="0"/>
    <x v="1"/>
    <n v="205"/>
    <x v="331"/>
    <x v="1"/>
    <x v="0"/>
    <x v="1"/>
    <n v="50.32"/>
    <x v="556"/>
  </r>
  <r>
    <s v="U4763"/>
    <x v="46"/>
    <s v="India"/>
    <x v="4"/>
    <x v="3"/>
    <n v="238"/>
    <x v="142"/>
    <x v="3"/>
    <x v="0"/>
    <x v="2"/>
    <n v="14.39"/>
    <x v="557"/>
  </r>
  <r>
    <s v="U4769"/>
    <x v="38"/>
    <s v="USA"/>
    <x v="3"/>
    <x v="3"/>
    <n v="56"/>
    <x v="152"/>
    <x v="0"/>
    <x v="0"/>
    <x v="1"/>
    <n v="56.75"/>
    <x v="558"/>
  </r>
  <r>
    <s v="U4781"/>
    <x v="13"/>
    <s v="UK"/>
    <x v="2"/>
    <x v="4"/>
    <n v="443"/>
    <x v="84"/>
    <x v="1"/>
    <x v="0"/>
    <x v="1"/>
    <n v="79.16"/>
    <x v="559"/>
  </r>
  <r>
    <s v="U4783"/>
    <x v="47"/>
    <s v="Australia"/>
    <x v="4"/>
    <x v="2"/>
    <n v="443"/>
    <x v="332"/>
    <x v="4"/>
    <x v="1"/>
    <x v="0"/>
    <n v="82.95"/>
    <x v="560"/>
  </r>
  <r>
    <s v="U4785"/>
    <x v="0"/>
    <s v="India"/>
    <x v="5"/>
    <x v="5"/>
    <n v="65"/>
    <x v="114"/>
    <x v="3"/>
    <x v="0"/>
    <x v="1"/>
    <n v="40.14"/>
    <x v="561"/>
  </r>
  <r>
    <s v="U4792"/>
    <x v="8"/>
    <s v="USA"/>
    <x v="2"/>
    <x v="1"/>
    <n v="239"/>
    <x v="183"/>
    <x v="2"/>
    <x v="0"/>
    <x v="0"/>
    <n v="87.88"/>
    <x v="562"/>
  </r>
  <r>
    <s v="U4806"/>
    <x v="18"/>
    <s v="UK"/>
    <x v="4"/>
    <x v="3"/>
    <n v="47"/>
    <x v="209"/>
    <x v="2"/>
    <x v="1"/>
    <x v="1"/>
    <n v="62.11"/>
    <x v="563"/>
  </r>
  <r>
    <s v="U4813"/>
    <x v="36"/>
    <s v="USA"/>
    <x v="4"/>
    <x v="4"/>
    <n v="148"/>
    <x v="131"/>
    <x v="3"/>
    <x v="1"/>
    <x v="0"/>
    <n v="53.51"/>
    <x v="564"/>
  </r>
  <r>
    <s v="U4817"/>
    <x v="31"/>
    <s v="Australia"/>
    <x v="2"/>
    <x v="2"/>
    <n v="494"/>
    <x v="333"/>
    <x v="3"/>
    <x v="1"/>
    <x v="0"/>
    <n v="34.299999999999997"/>
    <x v="565"/>
  </r>
  <r>
    <s v="U4830"/>
    <x v="37"/>
    <s v="UK"/>
    <x v="0"/>
    <x v="5"/>
    <n v="511"/>
    <x v="325"/>
    <x v="0"/>
    <x v="0"/>
    <x v="1"/>
    <n v="50.06"/>
    <x v="566"/>
  </r>
  <r>
    <s v="U4842"/>
    <x v="9"/>
    <s v="South Korea"/>
    <x v="5"/>
    <x v="3"/>
    <n v="26"/>
    <x v="160"/>
    <x v="4"/>
    <x v="0"/>
    <x v="1"/>
    <n v="30.14"/>
    <x v="567"/>
  </r>
  <r>
    <s v="U4847"/>
    <x v="36"/>
    <s v="USA"/>
    <x v="2"/>
    <x v="0"/>
    <n v="289"/>
    <x v="119"/>
    <x v="0"/>
    <x v="0"/>
    <x v="1"/>
    <n v="85.44"/>
    <x v="568"/>
  </r>
  <r>
    <s v="U4849"/>
    <x v="25"/>
    <s v="South Korea"/>
    <x v="4"/>
    <x v="3"/>
    <n v="239"/>
    <x v="19"/>
    <x v="3"/>
    <x v="0"/>
    <x v="2"/>
    <n v="64.849999999999994"/>
    <x v="569"/>
  </r>
  <r>
    <s v="U4860"/>
    <x v="30"/>
    <s v="Australia"/>
    <x v="5"/>
    <x v="5"/>
    <n v="458"/>
    <x v="277"/>
    <x v="2"/>
    <x v="0"/>
    <x v="2"/>
    <n v="65.78"/>
    <x v="570"/>
  </r>
  <r>
    <s v="U4861"/>
    <x v="20"/>
    <s v="UK"/>
    <x v="5"/>
    <x v="1"/>
    <n v="313"/>
    <x v="334"/>
    <x v="1"/>
    <x v="0"/>
    <x v="2"/>
    <n v="19.55"/>
    <x v="571"/>
  </r>
  <r>
    <s v="U4868"/>
    <x v="7"/>
    <s v="South Korea"/>
    <x v="1"/>
    <x v="2"/>
    <n v="488"/>
    <x v="179"/>
    <x v="4"/>
    <x v="1"/>
    <x v="2"/>
    <n v="71.260000000000005"/>
    <x v="572"/>
  </r>
  <r>
    <s v="U4869"/>
    <x v="40"/>
    <s v="UK"/>
    <x v="3"/>
    <x v="4"/>
    <n v="108"/>
    <x v="335"/>
    <x v="2"/>
    <x v="0"/>
    <x v="2"/>
    <n v="74.25"/>
    <x v="573"/>
  </r>
  <r>
    <s v="U4873"/>
    <x v="34"/>
    <s v="South Korea"/>
    <x v="4"/>
    <x v="1"/>
    <n v="257"/>
    <x v="336"/>
    <x v="1"/>
    <x v="0"/>
    <x v="0"/>
    <n v="52"/>
    <x v="574"/>
  </r>
  <r>
    <s v="U4895"/>
    <x v="28"/>
    <s v="Australia"/>
    <x v="5"/>
    <x v="5"/>
    <n v="457"/>
    <x v="314"/>
    <x v="2"/>
    <x v="1"/>
    <x v="1"/>
    <n v="34.72"/>
    <x v="575"/>
  </r>
  <r>
    <s v="U4896"/>
    <x v="11"/>
    <s v="UK"/>
    <x v="2"/>
    <x v="5"/>
    <n v="377"/>
    <x v="32"/>
    <x v="2"/>
    <x v="0"/>
    <x v="2"/>
    <n v="53.11"/>
    <x v="576"/>
  </r>
  <r>
    <s v="U4908"/>
    <x v="33"/>
    <s v="UK"/>
    <x v="4"/>
    <x v="2"/>
    <n v="79"/>
    <x v="121"/>
    <x v="2"/>
    <x v="0"/>
    <x v="0"/>
    <n v="13.48"/>
    <x v="577"/>
  </r>
  <r>
    <s v="U4913"/>
    <x v="44"/>
    <s v="UK"/>
    <x v="4"/>
    <x v="5"/>
    <n v="363"/>
    <x v="337"/>
    <x v="0"/>
    <x v="1"/>
    <x v="1"/>
    <n v="69.150000000000006"/>
    <x v="578"/>
  </r>
  <r>
    <s v="U4919"/>
    <x v="5"/>
    <s v="UK"/>
    <x v="2"/>
    <x v="4"/>
    <n v="381"/>
    <x v="338"/>
    <x v="3"/>
    <x v="0"/>
    <x v="2"/>
    <n v="10.68"/>
    <x v="579"/>
  </r>
  <r>
    <s v="U4933"/>
    <x v="3"/>
    <s v="India"/>
    <x v="5"/>
    <x v="1"/>
    <n v="351"/>
    <x v="292"/>
    <x v="3"/>
    <x v="1"/>
    <x v="1"/>
    <n v="75.38"/>
    <x v="580"/>
  </r>
  <r>
    <s v="U4936"/>
    <x v="16"/>
    <s v="USA"/>
    <x v="1"/>
    <x v="4"/>
    <n v="149"/>
    <x v="292"/>
    <x v="3"/>
    <x v="1"/>
    <x v="2"/>
    <n v="67.010000000000005"/>
    <x v="581"/>
  </r>
  <r>
    <s v="U4939"/>
    <x v="38"/>
    <s v="Australia"/>
    <x v="3"/>
    <x v="1"/>
    <n v="201"/>
    <x v="339"/>
    <x v="3"/>
    <x v="0"/>
    <x v="0"/>
    <n v="13.2"/>
    <x v="582"/>
  </r>
  <r>
    <s v="U4941"/>
    <x v="38"/>
    <s v="India"/>
    <x v="2"/>
    <x v="1"/>
    <n v="224"/>
    <x v="340"/>
    <x v="4"/>
    <x v="1"/>
    <x v="1"/>
    <n v="88.7"/>
    <x v="583"/>
  </r>
  <r>
    <s v="U4942"/>
    <x v="12"/>
    <s v="USA"/>
    <x v="1"/>
    <x v="1"/>
    <n v="36"/>
    <x v="18"/>
    <x v="2"/>
    <x v="1"/>
    <x v="0"/>
    <n v="75.3"/>
    <x v="584"/>
  </r>
  <r>
    <s v="U4961"/>
    <x v="18"/>
    <s v="South Korea"/>
    <x v="0"/>
    <x v="1"/>
    <n v="41"/>
    <x v="300"/>
    <x v="1"/>
    <x v="1"/>
    <x v="1"/>
    <n v="54.64"/>
    <x v="456"/>
  </r>
  <r>
    <s v="U4962"/>
    <x v="15"/>
    <s v="India"/>
    <x v="5"/>
    <x v="1"/>
    <n v="459"/>
    <x v="136"/>
    <x v="1"/>
    <x v="0"/>
    <x v="1"/>
    <n v="73.59"/>
    <x v="585"/>
  </r>
  <r>
    <s v="U4965"/>
    <x v="42"/>
    <s v="USA"/>
    <x v="3"/>
    <x v="5"/>
    <n v="405"/>
    <x v="211"/>
    <x v="3"/>
    <x v="1"/>
    <x v="2"/>
    <n v="64.459999999999994"/>
    <x v="586"/>
  </r>
  <r>
    <s v="U4971"/>
    <x v="25"/>
    <s v="Australia"/>
    <x v="3"/>
    <x v="3"/>
    <n v="389"/>
    <x v="0"/>
    <x v="0"/>
    <x v="1"/>
    <x v="0"/>
    <n v="62.58"/>
    <x v="587"/>
  </r>
  <r>
    <s v="U4981"/>
    <x v="22"/>
    <s v="USA"/>
    <x v="4"/>
    <x v="3"/>
    <n v="245"/>
    <x v="238"/>
    <x v="3"/>
    <x v="1"/>
    <x v="0"/>
    <n v="59.81"/>
    <x v="588"/>
  </r>
  <r>
    <s v="U4983"/>
    <x v="40"/>
    <s v="South Korea"/>
    <x v="5"/>
    <x v="3"/>
    <n v="344"/>
    <x v="252"/>
    <x v="0"/>
    <x v="1"/>
    <x v="1"/>
    <n v="19.38"/>
    <x v="589"/>
  </r>
  <r>
    <s v="U5011"/>
    <x v="29"/>
    <s v="India"/>
    <x v="2"/>
    <x v="3"/>
    <n v="597"/>
    <x v="258"/>
    <x v="4"/>
    <x v="0"/>
    <x v="1"/>
    <n v="15.54"/>
    <x v="590"/>
  </r>
  <r>
    <s v="U5018"/>
    <x v="47"/>
    <s v="USA"/>
    <x v="1"/>
    <x v="3"/>
    <n v="156"/>
    <x v="242"/>
    <x v="0"/>
    <x v="0"/>
    <x v="1"/>
    <n v="66.150000000000006"/>
    <x v="591"/>
  </r>
  <r>
    <s v="U5029"/>
    <x v="23"/>
    <s v="South Korea"/>
    <x v="0"/>
    <x v="1"/>
    <n v="532"/>
    <x v="341"/>
    <x v="0"/>
    <x v="1"/>
    <x v="2"/>
    <n v="82.81"/>
    <x v="592"/>
  </r>
  <r>
    <s v="U5040"/>
    <x v="6"/>
    <s v="Australia"/>
    <x v="4"/>
    <x v="5"/>
    <n v="62"/>
    <x v="241"/>
    <x v="4"/>
    <x v="0"/>
    <x v="0"/>
    <n v="63.03"/>
    <x v="593"/>
  </r>
  <r>
    <s v="U5050"/>
    <x v="21"/>
    <s v="India"/>
    <x v="1"/>
    <x v="1"/>
    <n v="417"/>
    <x v="232"/>
    <x v="1"/>
    <x v="0"/>
    <x v="0"/>
    <n v="11.72"/>
    <x v="594"/>
  </r>
  <r>
    <s v="U5054"/>
    <x v="18"/>
    <s v="South Korea"/>
    <x v="4"/>
    <x v="2"/>
    <n v="302"/>
    <x v="227"/>
    <x v="3"/>
    <x v="1"/>
    <x v="0"/>
    <n v="35.869999999999997"/>
    <x v="595"/>
  </r>
  <r>
    <s v="U5057"/>
    <x v="10"/>
    <s v="UK"/>
    <x v="5"/>
    <x v="4"/>
    <n v="562"/>
    <x v="59"/>
    <x v="4"/>
    <x v="1"/>
    <x v="2"/>
    <n v="47.97"/>
    <x v="596"/>
  </r>
  <r>
    <s v="U5058"/>
    <x v="23"/>
    <s v="South Korea"/>
    <x v="0"/>
    <x v="0"/>
    <n v="389"/>
    <x v="342"/>
    <x v="2"/>
    <x v="1"/>
    <x v="2"/>
    <n v="75.83"/>
    <x v="597"/>
  </r>
  <r>
    <s v="U5060"/>
    <x v="35"/>
    <s v="Australia"/>
    <x v="0"/>
    <x v="2"/>
    <n v="338"/>
    <x v="95"/>
    <x v="1"/>
    <x v="0"/>
    <x v="1"/>
    <n v="53.97"/>
    <x v="255"/>
  </r>
  <r>
    <s v="U5070"/>
    <x v="40"/>
    <s v="South Korea"/>
    <x v="5"/>
    <x v="4"/>
    <n v="188"/>
    <x v="38"/>
    <x v="4"/>
    <x v="0"/>
    <x v="2"/>
    <n v="31.93"/>
    <x v="598"/>
  </r>
  <r>
    <s v="U5072"/>
    <x v="6"/>
    <s v="USA"/>
    <x v="4"/>
    <x v="5"/>
    <n v="109"/>
    <x v="317"/>
    <x v="2"/>
    <x v="1"/>
    <x v="1"/>
    <n v="72.19"/>
    <x v="599"/>
  </r>
  <r>
    <s v="U5075"/>
    <x v="11"/>
    <s v="South Korea"/>
    <x v="4"/>
    <x v="1"/>
    <n v="499"/>
    <x v="301"/>
    <x v="4"/>
    <x v="1"/>
    <x v="2"/>
    <n v="64.3"/>
    <x v="600"/>
  </r>
  <r>
    <s v="U5079"/>
    <x v="19"/>
    <s v="India"/>
    <x v="1"/>
    <x v="3"/>
    <n v="198"/>
    <x v="78"/>
    <x v="2"/>
    <x v="0"/>
    <x v="2"/>
    <n v="78.459999999999994"/>
    <x v="601"/>
  </r>
  <r>
    <s v="U5087"/>
    <x v="39"/>
    <s v="Australia"/>
    <x v="1"/>
    <x v="5"/>
    <n v="269"/>
    <x v="145"/>
    <x v="1"/>
    <x v="0"/>
    <x v="0"/>
    <n v="10.61"/>
    <x v="602"/>
  </r>
  <r>
    <s v="U5095"/>
    <x v="1"/>
    <s v="USA"/>
    <x v="4"/>
    <x v="0"/>
    <n v="38"/>
    <x v="253"/>
    <x v="3"/>
    <x v="0"/>
    <x v="1"/>
    <n v="13.77"/>
    <x v="603"/>
  </r>
  <r>
    <s v="U5098"/>
    <x v="25"/>
    <s v="India"/>
    <x v="4"/>
    <x v="3"/>
    <n v="54"/>
    <x v="255"/>
    <x v="2"/>
    <x v="0"/>
    <x v="1"/>
    <n v="77.34"/>
    <x v="604"/>
  </r>
  <r>
    <s v="U5114"/>
    <x v="38"/>
    <s v="Australia"/>
    <x v="4"/>
    <x v="3"/>
    <n v="340"/>
    <x v="256"/>
    <x v="2"/>
    <x v="0"/>
    <x v="1"/>
    <n v="60.23"/>
    <x v="605"/>
  </r>
  <r>
    <s v="U5116"/>
    <x v="42"/>
    <s v="India"/>
    <x v="5"/>
    <x v="5"/>
    <n v="318"/>
    <x v="343"/>
    <x v="2"/>
    <x v="1"/>
    <x v="2"/>
    <n v="63.1"/>
    <x v="606"/>
  </r>
  <r>
    <s v="U5125"/>
    <x v="15"/>
    <s v="India"/>
    <x v="3"/>
    <x v="5"/>
    <n v="447"/>
    <x v="344"/>
    <x v="4"/>
    <x v="0"/>
    <x v="2"/>
    <n v="29.82"/>
    <x v="607"/>
  </r>
  <r>
    <s v="U5126"/>
    <x v="16"/>
    <s v="Australia"/>
    <x v="2"/>
    <x v="5"/>
    <n v="481"/>
    <x v="136"/>
    <x v="4"/>
    <x v="0"/>
    <x v="0"/>
    <n v="30.23"/>
    <x v="608"/>
  </r>
  <r>
    <s v="U5127"/>
    <x v="4"/>
    <s v="India"/>
    <x v="5"/>
    <x v="2"/>
    <n v="356"/>
    <x v="52"/>
    <x v="0"/>
    <x v="1"/>
    <x v="2"/>
    <n v="83.8"/>
    <x v="609"/>
  </r>
  <r>
    <s v="U5129"/>
    <x v="18"/>
    <s v="South Korea"/>
    <x v="0"/>
    <x v="0"/>
    <n v="358"/>
    <x v="99"/>
    <x v="1"/>
    <x v="1"/>
    <x v="0"/>
    <n v="34.33"/>
    <x v="610"/>
  </r>
  <r>
    <s v="U5149"/>
    <x v="24"/>
    <s v="India"/>
    <x v="4"/>
    <x v="1"/>
    <n v="467"/>
    <x v="24"/>
    <x v="0"/>
    <x v="0"/>
    <x v="0"/>
    <n v="74.209999999999994"/>
    <x v="611"/>
  </r>
  <r>
    <s v="U5157"/>
    <x v="37"/>
    <s v="South Korea"/>
    <x v="0"/>
    <x v="1"/>
    <n v="58"/>
    <x v="345"/>
    <x v="2"/>
    <x v="0"/>
    <x v="2"/>
    <n v="47.73"/>
    <x v="612"/>
  </r>
  <r>
    <s v="U5159"/>
    <x v="21"/>
    <s v="South Korea"/>
    <x v="0"/>
    <x v="2"/>
    <n v="65"/>
    <x v="346"/>
    <x v="4"/>
    <x v="0"/>
    <x v="1"/>
    <n v="37.15"/>
    <x v="613"/>
  </r>
  <r>
    <s v="U5162"/>
    <x v="41"/>
    <s v="Australia"/>
    <x v="5"/>
    <x v="3"/>
    <n v="257"/>
    <x v="183"/>
    <x v="4"/>
    <x v="1"/>
    <x v="0"/>
    <n v="37.630000000000003"/>
    <x v="614"/>
  </r>
  <r>
    <s v="U5177"/>
    <x v="9"/>
    <s v="South Korea"/>
    <x v="5"/>
    <x v="4"/>
    <n v="366"/>
    <x v="170"/>
    <x v="2"/>
    <x v="0"/>
    <x v="2"/>
    <n v="67.7"/>
    <x v="615"/>
  </r>
  <r>
    <s v="U5188"/>
    <x v="28"/>
    <s v="UK"/>
    <x v="0"/>
    <x v="3"/>
    <n v="546"/>
    <x v="78"/>
    <x v="1"/>
    <x v="1"/>
    <x v="1"/>
    <n v="30.82"/>
    <x v="616"/>
  </r>
  <r>
    <s v="U5189"/>
    <x v="12"/>
    <s v="Australia"/>
    <x v="4"/>
    <x v="2"/>
    <n v="530"/>
    <x v="7"/>
    <x v="4"/>
    <x v="0"/>
    <x v="1"/>
    <n v="59.2"/>
    <x v="617"/>
  </r>
  <r>
    <s v="U5190"/>
    <x v="26"/>
    <s v="Australia"/>
    <x v="2"/>
    <x v="5"/>
    <n v="188"/>
    <x v="278"/>
    <x v="1"/>
    <x v="0"/>
    <x v="0"/>
    <n v="50.39"/>
    <x v="618"/>
  </r>
  <r>
    <s v="U5192"/>
    <x v="26"/>
    <s v="South Korea"/>
    <x v="0"/>
    <x v="4"/>
    <n v="461"/>
    <x v="342"/>
    <x v="2"/>
    <x v="0"/>
    <x v="0"/>
    <n v="78.23"/>
    <x v="619"/>
  </r>
  <r>
    <s v="U5216"/>
    <x v="41"/>
    <s v="India"/>
    <x v="2"/>
    <x v="0"/>
    <n v="446"/>
    <x v="241"/>
    <x v="4"/>
    <x v="1"/>
    <x v="2"/>
    <n v="18.66"/>
    <x v="98"/>
  </r>
  <r>
    <s v="U5226"/>
    <x v="23"/>
    <s v="UK"/>
    <x v="3"/>
    <x v="1"/>
    <n v="254"/>
    <x v="105"/>
    <x v="0"/>
    <x v="0"/>
    <x v="0"/>
    <n v="38.549999999999997"/>
    <x v="620"/>
  </r>
  <r>
    <s v="U5229"/>
    <x v="3"/>
    <s v="USA"/>
    <x v="2"/>
    <x v="0"/>
    <n v="505"/>
    <x v="347"/>
    <x v="1"/>
    <x v="0"/>
    <x v="2"/>
    <n v="83.75"/>
    <x v="621"/>
  </r>
  <r>
    <s v="U5230"/>
    <x v="23"/>
    <s v="USA"/>
    <x v="5"/>
    <x v="5"/>
    <n v="164"/>
    <x v="348"/>
    <x v="4"/>
    <x v="0"/>
    <x v="2"/>
    <n v="64.489999999999995"/>
    <x v="622"/>
  </r>
  <r>
    <s v="U5235"/>
    <x v="31"/>
    <s v="Australia"/>
    <x v="1"/>
    <x v="1"/>
    <n v="374"/>
    <x v="98"/>
    <x v="4"/>
    <x v="1"/>
    <x v="2"/>
    <n v="30.14"/>
    <x v="623"/>
  </r>
  <r>
    <s v="U5254"/>
    <x v="2"/>
    <s v="Australia"/>
    <x v="2"/>
    <x v="2"/>
    <n v="428"/>
    <x v="349"/>
    <x v="0"/>
    <x v="1"/>
    <x v="2"/>
    <n v="60.15"/>
    <x v="624"/>
  </r>
  <r>
    <s v="U5260"/>
    <x v="22"/>
    <s v="South Korea"/>
    <x v="4"/>
    <x v="3"/>
    <n v="97"/>
    <x v="350"/>
    <x v="3"/>
    <x v="1"/>
    <x v="0"/>
    <n v="63.23"/>
    <x v="625"/>
  </r>
  <r>
    <s v="U5270"/>
    <x v="33"/>
    <s v="Australia"/>
    <x v="0"/>
    <x v="1"/>
    <n v="34"/>
    <x v="288"/>
    <x v="4"/>
    <x v="1"/>
    <x v="2"/>
    <n v="22.6"/>
    <x v="626"/>
  </r>
  <r>
    <s v="U5284"/>
    <x v="5"/>
    <s v="Australia"/>
    <x v="5"/>
    <x v="2"/>
    <n v="215"/>
    <x v="291"/>
    <x v="4"/>
    <x v="1"/>
    <x v="2"/>
    <n v="47.89"/>
    <x v="627"/>
  </r>
  <r>
    <s v="U5288"/>
    <x v="36"/>
    <s v="South Korea"/>
    <x v="5"/>
    <x v="1"/>
    <n v="427"/>
    <x v="167"/>
    <x v="3"/>
    <x v="0"/>
    <x v="2"/>
    <n v="25.39"/>
    <x v="628"/>
  </r>
  <r>
    <s v="U5297"/>
    <x v="22"/>
    <s v="South Korea"/>
    <x v="5"/>
    <x v="4"/>
    <n v="475"/>
    <x v="312"/>
    <x v="4"/>
    <x v="1"/>
    <x v="2"/>
    <n v="16.96"/>
    <x v="629"/>
  </r>
  <r>
    <s v="U5302"/>
    <x v="34"/>
    <s v="UK"/>
    <x v="1"/>
    <x v="4"/>
    <n v="486"/>
    <x v="161"/>
    <x v="2"/>
    <x v="0"/>
    <x v="1"/>
    <n v="69.010000000000005"/>
    <x v="630"/>
  </r>
  <r>
    <s v="U5303"/>
    <x v="45"/>
    <s v="South Korea"/>
    <x v="4"/>
    <x v="4"/>
    <n v="170"/>
    <x v="247"/>
    <x v="1"/>
    <x v="0"/>
    <x v="2"/>
    <n v="36.01"/>
    <x v="631"/>
  </r>
  <r>
    <s v="U5317"/>
    <x v="16"/>
    <s v="USA"/>
    <x v="3"/>
    <x v="1"/>
    <n v="441"/>
    <x v="33"/>
    <x v="0"/>
    <x v="1"/>
    <x v="2"/>
    <n v="81.98"/>
    <x v="632"/>
  </r>
  <r>
    <s v="U5318"/>
    <x v="44"/>
    <s v="USA"/>
    <x v="3"/>
    <x v="0"/>
    <n v="17"/>
    <x v="324"/>
    <x v="1"/>
    <x v="1"/>
    <x v="1"/>
    <n v="56.31"/>
    <x v="633"/>
  </r>
  <r>
    <s v="U5319"/>
    <x v="27"/>
    <s v="South Korea"/>
    <x v="0"/>
    <x v="3"/>
    <n v="458"/>
    <x v="351"/>
    <x v="0"/>
    <x v="0"/>
    <x v="1"/>
    <n v="65.36"/>
    <x v="634"/>
  </r>
  <r>
    <s v="U5320"/>
    <x v="9"/>
    <s v="Australia"/>
    <x v="4"/>
    <x v="0"/>
    <n v="123"/>
    <x v="119"/>
    <x v="4"/>
    <x v="1"/>
    <x v="1"/>
    <n v="59.77"/>
    <x v="635"/>
  </r>
  <r>
    <s v="U5321"/>
    <x v="20"/>
    <s v="South Korea"/>
    <x v="1"/>
    <x v="0"/>
    <n v="299"/>
    <x v="56"/>
    <x v="2"/>
    <x v="1"/>
    <x v="1"/>
    <n v="74.459999999999994"/>
    <x v="636"/>
  </r>
  <r>
    <s v="U5328"/>
    <x v="6"/>
    <s v="UK"/>
    <x v="1"/>
    <x v="1"/>
    <n v="13"/>
    <x v="282"/>
    <x v="3"/>
    <x v="1"/>
    <x v="2"/>
    <n v="44.85"/>
    <x v="637"/>
  </r>
  <r>
    <s v="U5331"/>
    <x v="26"/>
    <s v="Australia"/>
    <x v="3"/>
    <x v="5"/>
    <n v="373"/>
    <x v="352"/>
    <x v="3"/>
    <x v="1"/>
    <x v="0"/>
    <n v="32.76"/>
    <x v="638"/>
  </r>
  <r>
    <s v="U5335"/>
    <x v="34"/>
    <s v="India"/>
    <x v="0"/>
    <x v="0"/>
    <n v="217"/>
    <x v="353"/>
    <x v="1"/>
    <x v="1"/>
    <x v="0"/>
    <n v="18.239999999999998"/>
    <x v="639"/>
  </r>
  <r>
    <s v="U5342"/>
    <x v="38"/>
    <s v="UK"/>
    <x v="0"/>
    <x v="2"/>
    <n v="522"/>
    <x v="166"/>
    <x v="2"/>
    <x v="1"/>
    <x v="1"/>
    <n v="55.14"/>
    <x v="640"/>
  </r>
  <r>
    <s v="U5346"/>
    <x v="8"/>
    <s v="India"/>
    <x v="5"/>
    <x v="2"/>
    <n v="128"/>
    <x v="280"/>
    <x v="2"/>
    <x v="0"/>
    <x v="2"/>
    <n v="76.06"/>
    <x v="641"/>
  </r>
  <r>
    <s v="U5347"/>
    <x v="7"/>
    <s v="USA"/>
    <x v="4"/>
    <x v="4"/>
    <n v="14"/>
    <x v="354"/>
    <x v="0"/>
    <x v="1"/>
    <x v="1"/>
    <n v="17.940000000000001"/>
    <x v="642"/>
  </r>
  <r>
    <s v="U5352"/>
    <x v="3"/>
    <s v="Australia"/>
    <x v="2"/>
    <x v="3"/>
    <n v="105"/>
    <x v="105"/>
    <x v="2"/>
    <x v="1"/>
    <x v="1"/>
    <n v="46.36"/>
    <x v="643"/>
  </r>
  <r>
    <s v="U5356"/>
    <x v="18"/>
    <s v="South Korea"/>
    <x v="3"/>
    <x v="2"/>
    <n v="542"/>
    <x v="217"/>
    <x v="1"/>
    <x v="1"/>
    <x v="2"/>
    <n v="21.19"/>
    <x v="644"/>
  </r>
  <r>
    <s v="U5368"/>
    <x v="31"/>
    <s v="USA"/>
    <x v="4"/>
    <x v="0"/>
    <n v="584"/>
    <x v="355"/>
    <x v="1"/>
    <x v="1"/>
    <x v="2"/>
    <n v="88.32"/>
    <x v="645"/>
  </r>
  <r>
    <s v="U5390"/>
    <x v="17"/>
    <s v="UK"/>
    <x v="0"/>
    <x v="3"/>
    <n v="364"/>
    <x v="27"/>
    <x v="4"/>
    <x v="1"/>
    <x v="2"/>
    <n v="16.93"/>
    <x v="646"/>
  </r>
  <r>
    <s v="U5393"/>
    <x v="37"/>
    <s v="India"/>
    <x v="2"/>
    <x v="1"/>
    <n v="320"/>
    <x v="356"/>
    <x v="1"/>
    <x v="0"/>
    <x v="1"/>
    <n v="40.92"/>
    <x v="647"/>
  </r>
  <r>
    <s v="U5406"/>
    <x v="41"/>
    <s v="South Korea"/>
    <x v="2"/>
    <x v="4"/>
    <n v="171"/>
    <x v="196"/>
    <x v="1"/>
    <x v="1"/>
    <x v="0"/>
    <n v="65.5"/>
    <x v="648"/>
  </r>
  <r>
    <s v="U5408"/>
    <x v="23"/>
    <s v="UK"/>
    <x v="3"/>
    <x v="1"/>
    <n v="421"/>
    <x v="141"/>
    <x v="1"/>
    <x v="0"/>
    <x v="2"/>
    <n v="41.34"/>
    <x v="649"/>
  </r>
  <r>
    <s v="U5413"/>
    <x v="11"/>
    <s v="South Korea"/>
    <x v="2"/>
    <x v="5"/>
    <n v="145"/>
    <x v="15"/>
    <x v="3"/>
    <x v="1"/>
    <x v="0"/>
    <n v="49.31"/>
    <x v="650"/>
  </r>
  <r>
    <s v="U5417"/>
    <x v="35"/>
    <s v="Australia"/>
    <x v="4"/>
    <x v="3"/>
    <n v="133"/>
    <x v="330"/>
    <x v="1"/>
    <x v="0"/>
    <x v="2"/>
    <n v="82.66"/>
    <x v="651"/>
  </r>
  <r>
    <s v="U5443"/>
    <x v="12"/>
    <s v="India"/>
    <x v="4"/>
    <x v="4"/>
    <n v="237"/>
    <x v="300"/>
    <x v="4"/>
    <x v="0"/>
    <x v="0"/>
    <n v="68.03"/>
    <x v="652"/>
  </r>
  <r>
    <s v="U5454"/>
    <x v="17"/>
    <s v="South Korea"/>
    <x v="4"/>
    <x v="3"/>
    <n v="138"/>
    <x v="357"/>
    <x v="3"/>
    <x v="0"/>
    <x v="2"/>
    <n v="64.44"/>
    <x v="653"/>
  </r>
  <r>
    <s v="U5467"/>
    <x v="47"/>
    <s v="Australia"/>
    <x v="3"/>
    <x v="1"/>
    <n v="518"/>
    <x v="358"/>
    <x v="1"/>
    <x v="1"/>
    <x v="0"/>
    <n v="29.98"/>
    <x v="654"/>
  </r>
  <r>
    <s v="U5475"/>
    <x v="28"/>
    <s v="UK"/>
    <x v="5"/>
    <x v="4"/>
    <n v="558"/>
    <x v="359"/>
    <x v="3"/>
    <x v="0"/>
    <x v="1"/>
    <n v="57.43"/>
    <x v="128"/>
  </r>
  <r>
    <s v="U5476"/>
    <x v="6"/>
    <s v="South Korea"/>
    <x v="0"/>
    <x v="5"/>
    <n v="570"/>
    <x v="189"/>
    <x v="1"/>
    <x v="1"/>
    <x v="0"/>
    <n v="25.12"/>
    <x v="655"/>
  </r>
  <r>
    <s v="U5477"/>
    <x v="41"/>
    <s v="Australia"/>
    <x v="4"/>
    <x v="1"/>
    <n v="95"/>
    <x v="360"/>
    <x v="2"/>
    <x v="1"/>
    <x v="2"/>
    <n v="14.45"/>
    <x v="656"/>
  </r>
  <r>
    <s v="U5479"/>
    <x v="42"/>
    <s v="USA"/>
    <x v="0"/>
    <x v="5"/>
    <n v="207"/>
    <x v="361"/>
    <x v="1"/>
    <x v="0"/>
    <x v="0"/>
    <n v="55.75"/>
    <x v="657"/>
  </r>
  <r>
    <s v="U5489"/>
    <x v="3"/>
    <s v="Australia"/>
    <x v="5"/>
    <x v="2"/>
    <n v="174"/>
    <x v="29"/>
    <x v="0"/>
    <x v="0"/>
    <x v="0"/>
    <n v="47"/>
    <x v="658"/>
  </r>
  <r>
    <s v="U5492"/>
    <x v="38"/>
    <s v="India"/>
    <x v="1"/>
    <x v="3"/>
    <n v="411"/>
    <x v="362"/>
    <x v="4"/>
    <x v="0"/>
    <x v="2"/>
    <n v="10.65"/>
    <x v="659"/>
  </r>
  <r>
    <s v="U5493"/>
    <x v="15"/>
    <s v="India"/>
    <x v="4"/>
    <x v="0"/>
    <n v="480"/>
    <x v="363"/>
    <x v="1"/>
    <x v="0"/>
    <x v="2"/>
    <n v="22.43"/>
    <x v="660"/>
  </r>
  <r>
    <s v="U5501"/>
    <x v="29"/>
    <s v="Australia"/>
    <x v="4"/>
    <x v="0"/>
    <n v="31"/>
    <x v="186"/>
    <x v="0"/>
    <x v="0"/>
    <x v="1"/>
    <n v="75.37"/>
    <x v="661"/>
  </r>
  <r>
    <s v="U5505"/>
    <x v="9"/>
    <s v="USA"/>
    <x v="4"/>
    <x v="1"/>
    <n v="158"/>
    <x v="364"/>
    <x v="0"/>
    <x v="1"/>
    <x v="2"/>
    <n v="74.37"/>
    <x v="662"/>
  </r>
  <r>
    <s v="U5512"/>
    <x v="11"/>
    <s v="South Korea"/>
    <x v="3"/>
    <x v="2"/>
    <n v="594"/>
    <x v="288"/>
    <x v="1"/>
    <x v="0"/>
    <x v="0"/>
    <n v="31.92"/>
    <x v="663"/>
  </r>
  <r>
    <s v="U5521"/>
    <x v="26"/>
    <s v="South Korea"/>
    <x v="4"/>
    <x v="2"/>
    <n v="395"/>
    <x v="40"/>
    <x v="2"/>
    <x v="1"/>
    <x v="2"/>
    <n v="28.31"/>
    <x v="664"/>
  </r>
  <r>
    <s v="U5522"/>
    <x v="7"/>
    <s v="Australia"/>
    <x v="3"/>
    <x v="3"/>
    <n v="112"/>
    <x v="114"/>
    <x v="2"/>
    <x v="1"/>
    <x v="2"/>
    <n v="27.48"/>
    <x v="665"/>
  </r>
  <r>
    <s v="U5530"/>
    <x v="28"/>
    <s v="USA"/>
    <x v="2"/>
    <x v="4"/>
    <n v="394"/>
    <x v="356"/>
    <x v="1"/>
    <x v="0"/>
    <x v="1"/>
    <n v="22.57"/>
    <x v="666"/>
  </r>
  <r>
    <s v="U5540"/>
    <x v="12"/>
    <s v="Australia"/>
    <x v="4"/>
    <x v="3"/>
    <n v="337"/>
    <x v="279"/>
    <x v="2"/>
    <x v="1"/>
    <x v="2"/>
    <n v="70.709999999999994"/>
    <x v="667"/>
  </r>
  <r>
    <s v="U5547"/>
    <x v="27"/>
    <s v="Australia"/>
    <x v="3"/>
    <x v="5"/>
    <n v="211"/>
    <x v="365"/>
    <x v="2"/>
    <x v="0"/>
    <x v="1"/>
    <n v="88.55"/>
    <x v="668"/>
  </r>
  <r>
    <s v="U5578"/>
    <x v="35"/>
    <s v="UK"/>
    <x v="2"/>
    <x v="1"/>
    <n v="527"/>
    <x v="297"/>
    <x v="3"/>
    <x v="1"/>
    <x v="0"/>
    <n v="82.11"/>
    <x v="669"/>
  </r>
  <r>
    <s v="U5583"/>
    <x v="3"/>
    <s v="USA"/>
    <x v="2"/>
    <x v="1"/>
    <n v="149"/>
    <x v="217"/>
    <x v="4"/>
    <x v="1"/>
    <x v="0"/>
    <n v="16.899999999999999"/>
    <x v="670"/>
  </r>
  <r>
    <s v="U5590"/>
    <x v="19"/>
    <s v="Australia"/>
    <x v="3"/>
    <x v="3"/>
    <n v="463"/>
    <x v="366"/>
    <x v="4"/>
    <x v="1"/>
    <x v="0"/>
    <n v="41.22"/>
    <x v="671"/>
  </r>
  <r>
    <s v="U5596"/>
    <x v="11"/>
    <s v="South Korea"/>
    <x v="1"/>
    <x v="2"/>
    <n v="437"/>
    <x v="282"/>
    <x v="4"/>
    <x v="0"/>
    <x v="2"/>
    <n v="89.75"/>
    <x v="672"/>
  </r>
  <r>
    <s v="U5598"/>
    <x v="7"/>
    <s v="UK"/>
    <x v="1"/>
    <x v="3"/>
    <n v="492"/>
    <x v="367"/>
    <x v="3"/>
    <x v="1"/>
    <x v="2"/>
    <n v="15.9"/>
    <x v="673"/>
  </r>
  <r>
    <s v="U5600"/>
    <x v="37"/>
    <s v="Australia"/>
    <x v="1"/>
    <x v="0"/>
    <n v="285"/>
    <x v="368"/>
    <x v="0"/>
    <x v="0"/>
    <x v="2"/>
    <n v="43.81"/>
    <x v="674"/>
  </r>
  <r>
    <s v="U5601"/>
    <x v="1"/>
    <s v="USA"/>
    <x v="0"/>
    <x v="1"/>
    <n v="231"/>
    <x v="147"/>
    <x v="1"/>
    <x v="1"/>
    <x v="2"/>
    <n v="76.14"/>
    <x v="675"/>
  </r>
  <r>
    <s v="U5608"/>
    <x v="24"/>
    <s v="India"/>
    <x v="2"/>
    <x v="4"/>
    <n v="446"/>
    <x v="22"/>
    <x v="3"/>
    <x v="1"/>
    <x v="0"/>
    <n v="20.43"/>
    <x v="563"/>
  </r>
  <r>
    <s v="U5609"/>
    <x v="36"/>
    <s v="USA"/>
    <x v="4"/>
    <x v="4"/>
    <n v="559"/>
    <x v="55"/>
    <x v="4"/>
    <x v="1"/>
    <x v="2"/>
    <n v="79.650000000000006"/>
    <x v="676"/>
  </r>
  <r>
    <s v="U5617"/>
    <x v="46"/>
    <s v="USA"/>
    <x v="4"/>
    <x v="1"/>
    <n v="502"/>
    <x v="106"/>
    <x v="4"/>
    <x v="1"/>
    <x v="1"/>
    <n v="20.87"/>
    <x v="677"/>
  </r>
  <r>
    <s v="U5618"/>
    <x v="42"/>
    <s v="Australia"/>
    <x v="0"/>
    <x v="3"/>
    <n v="32"/>
    <x v="178"/>
    <x v="3"/>
    <x v="0"/>
    <x v="1"/>
    <n v="87.96"/>
    <x v="678"/>
  </r>
  <r>
    <s v="U5626"/>
    <x v="35"/>
    <s v="South Korea"/>
    <x v="3"/>
    <x v="2"/>
    <n v="334"/>
    <x v="69"/>
    <x v="0"/>
    <x v="1"/>
    <x v="0"/>
    <n v="56.46"/>
    <x v="219"/>
  </r>
  <r>
    <s v="U5629"/>
    <x v="2"/>
    <s v="USA"/>
    <x v="2"/>
    <x v="0"/>
    <n v="579"/>
    <x v="369"/>
    <x v="3"/>
    <x v="0"/>
    <x v="2"/>
    <n v="41.94"/>
    <x v="679"/>
  </r>
  <r>
    <s v="U5630"/>
    <x v="45"/>
    <s v="South Korea"/>
    <x v="3"/>
    <x v="0"/>
    <n v="167"/>
    <x v="22"/>
    <x v="4"/>
    <x v="0"/>
    <x v="0"/>
    <n v="31.48"/>
    <x v="680"/>
  </r>
  <r>
    <s v="U5634"/>
    <x v="26"/>
    <s v="UK"/>
    <x v="0"/>
    <x v="3"/>
    <n v="383"/>
    <x v="370"/>
    <x v="0"/>
    <x v="1"/>
    <x v="2"/>
    <n v="61.7"/>
    <x v="681"/>
  </r>
  <r>
    <s v="U5635"/>
    <x v="21"/>
    <s v="India"/>
    <x v="0"/>
    <x v="0"/>
    <n v="575"/>
    <x v="249"/>
    <x v="3"/>
    <x v="0"/>
    <x v="1"/>
    <n v="65.69"/>
    <x v="682"/>
  </r>
  <r>
    <s v="U5657"/>
    <x v="23"/>
    <s v="USA"/>
    <x v="4"/>
    <x v="5"/>
    <n v="258"/>
    <x v="37"/>
    <x v="2"/>
    <x v="0"/>
    <x v="2"/>
    <n v="16.62"/>
    <x v="683"/>
  </r>
  <r>
    <s v="U5673"/>
    <x v="40"/>
    <s v="UK"/>
    <x v="5"/>
    <x v="4"/>
    <n v="190"/>
    <x v="30"/>
    <x v="4"/>
    <x v="1"/>
    <x v="2"/>
    <n v="58.51"/>
    <x v="684"/>
  </r>
  <r>
    <s v="U5676"/>
    <x v="40"/>
    <s v="Australia"/>
    <x v="0"/>
    <x v="4"/>
    <n v="476"/>
    <x v="257"/>
    <x v="4"/>
    <x v="1"/>
    <x v="0"/>
    <n v="73.989999999999995"/>
    <x v="685"/>
  </r>
  <r>
    <s v="U5679"/>
    <x v="6"/>
    <s v="India"/>
    <x v="1"/>
    <x v="1"/>
    <n v="368"/>
    <x v="310"/>
    <x v="2"/>
    <x v="1"/>
    <x v="2"/>
    <n v="26.61"/>
    <x v="686"/>
  </r>
  <r>
    <s v="U5688"/>
    <x v="36"/>
    <s v="India"/>
    <x v="1"/>
    <x v="5"/>
    <n v="585"/>
    <x v="75"/>
    <x v="2"/>
    <x v="0"/>
    <x v="0"/>
    <n v="16.8"/>
    <x v="687"/>
  </r>
  <r>
    <s v="U5691"/>
    <x v="12"/>
    <s v="UK"/>
    <x v="0"/>
    <x v="1"/>
    <n v="593"/>
    <x v="371"/>
    <x v="2"/>
    <x v="0"/>
    <x v="2"/>
    <n v="34.17"/>
    <x v="688"/>
  </r>
  <r>
    <s v="U5696"/>
    <x v="42"/>
    <s v="India"/>
    <x v="5"/>
    <x v="2"/>
    <n v="548"/>
    <x v="16"/>
    <x v="2"/>
    <x v="0"/>
    <x v="2"/>
    <n v="45.38"/>
    <x v="689"/>
  </r>
  <r>
    <s v="U5698"/>
    <x v="40"/>
    <s v="South Korea"/>
    <x v="1"/>
    <x v="1"/>
    <n v="77"/>
    <x v="372"/>
    <x v="1"/>
    <x v="1"/>
    <x v="0"/>
    <n v="68.38"/>
    <x v="690"/>
  </r>
  <r>
    <s v="U5700"/>
    <x v="20"/>
    <s v="South Korea"/>
    <x v="4"/>
    <x v="4"/>
    <n v="577"/>
    <x v="21"/>
    <x v="0"/>
    <x v="0"/>
    <x v="1"/>
    <n v="63.65"/>
    <x v="691"/>
  </r>
  <r>
    <s v="U5701"/>
    <x v="2"/>
    <s v="Australia"/>
    <x v="3"/>
    <x v="1"/>
    <n v="98"/>
    <x v="373"/>
    <x v="4"/>
    <x v="0"/>
    <x v="0"/>
    <n v="31.96"/>
    <x v="692"/>
  </r>
  <r>
    <s v="U5704"/>
    <x v="34"/>
    <s v="South Korea"/>
    <x v="4"/>
    <x v="4"/>
    <n v="72"/>
    <x v="270"/>
    <x v="4"/>
    <x v="0"/>
    <x v="0"/>
    <n v="23.59"/>
    <x v="693"/>
  </r>
  <r>
    <s v="U5705"/>
    <x v="33"/>
    <s v="UK"/>
    <x v="3"/>
    <x v="0"/>
    <n v="409"/>
    <x v="230"/>
    <x v="4"/>
    <x v="0"/>
    <x v="2"/>
    <n v="38.549999999999997"/>
    <x v="694"/>
  </r>
  <r>
    <s v="U5709"/>
    <x v="47"/>
    <s v="South Korea"/>
    <x v="2"/>
    <x v="4"/>
    <n v="33"/>
    <x v="137"/>
    <x v="2"/>
    <x v="0"/>
    <x v="1"/>
    <n v="52.92"/>
    <x v="695"/>
  </r>
  <r>
    <s v="U5711"/>
    <x v="13"/>
    <s v="South Korea"/>
    <x v="1"/>
    <x v="4"/>
    <n v="576"/>
    <x v="374"/>
    <x v="2"/>
    <x v="1"/>
    <x v="2"/>
    <n v="71.87"/>
    <x v="696"/>
  </r>
  <r>
    <s v="U5713"/>
    <x v="0"/>
    <s v="USA"/>
    <x v="4"/>
    <x v="1"/>
    <n v="35"/>
    <x v="343"/>
    <x v="4"/>
    <x v="0"/>
    <x v="0"/>
    <n v="61.18"/>
    <x v="697"/>
  </r>
  <r>
    <s v="U5721"/>
    <x v="27"/>
    <s v="South Korea"/>
    <x v="1"/>
    <x v="4"/>
    <n v="348"/>
    <x v="321"/>
    <x v="3"/>
    <x v="0"/>
    <x v="2"/>
    <n v="83.87"/>
    <x v="698"/>
  </r>
  <r>
    <s v="U5724"/>
    <x v="4"/>
    <s v="South Korea"/>
    <x v="1"/>
    <x v="3"/>
    <n v="452"/>
    <x v="375"/>
    <x v="3"/>
    <x v="0"/>
    <x v="0"/>
    <n v="41.58"/>
    <x v="699"/>
  </r>
  <r>
    <s v="U5728"/>
    <x v="30"/>
    <s v="UK"/>
    <x v="4"/>
    <x v="4"/>
    <n v="173"/>
    <x v="103"/>
    <x v="4"/>
    <x v="1"/>
    <x v="0"/>
    <n v="42.14"/>
    <x v="700"/>
  </r>
  <r>
    <s v="U5738"/>
    <x v="45"/>
    <s v="India"/>
    <x v="3"/>
    <x v="4"/>
    <n v="202"/>
    <x v="205"/>
    <x v="2"/>
    <x v="0"/>
    <x v="2"/>
    <n v="86.41"/>
    <x v="701"/>
  </r>
  <r>
    <s v="U5748"/>
    <x v="27"/>
    <s v="USA"/>
    <x v="2"/>
    <x v="5"/>
    <n v="387"/>
    <x v="230"/>
    <x v="4"/>
    <x v="0"/>
    <x v="0"/>
    <n v="23.1"/>
    <x v="140"/>
  </r>
  <r>
    <s v="U5753"/>
    <x v="6"/>
    <s v="UK"/>
    <x v="5"/>
    <x v="0"/>
    <n v="359"/>
    <x v="285"/>
    <x v="1"/>
    <x v="1"/>
    <x v="0"/>
    <n v="55.97"/>
    <x v="485"/>
  </r>
  <r>
    <s v="U5759"/>
    <x v="32"/>
    <s v="UK"/>
    <x v="0"/>
    <x v="1"/>
    <n v="304"/>
    <x v="48"/>
    <x v="4"/>
    <x v="0"/>
    <x v="2"/>
    <n v="47.8"/>
    <x v="186"/>
  </r>
  <r>
    <s v="U5780"/>
    <x v="44"/>
    <s v="UK"/>
    <x v="1"/>
    <x v="1"/>
    <n v="84"/>
    <x v="327"/>
    <x v="4"/>
    <x v="1"/>
    <x v="2"/>
    <n v="32.1"/>
    <x v="702"/>
  </r>
  <r>
    <s v="U5800"/>
    <x v="20"/>
    <s v="South Korea"/>
    <x v="0"/>
    <x v="3"/>
    <n v="57"/>
    <x v="376"/>
    <x v="1"/>
    <x v="1"/>
    <x v="2"/>
    <n v="51.28"/>
    <x v="100"/>
  </r>
  <r>
    <s v="U5803"/>
    <x v="24"/>
    <s v="India"/>
    <x v="4"/>
    <x v="3"/>
    <n v="287"/>
    <x v="377"/>
    <x v="4"/>
    <x v="0"/>
    <x v="1"/>
    <n v="34.72"/>
    <x v="703"/>
  </r>
  <r>
    <s v="U5807"/>
    <x v="28"/>
    <s v="India"/>
    <x v="4"/>
    <x v="3"/>
    <n v="340"/>
    <x v="7"/>
    <x v="1"/>
    <x v="0"/>
    <x v="1"/>
    <n v="35.28"/>
    <x v="704"/>
  </r>
  <r>
    <s v="U5808"/>
    <x v="23"/>
    <s v="Australia"/>
    <x v="0"/>
    <x v="1"/>
    <n v="178"/>
    <x v="81"/>
    <x v="2"/>
    <x v="0"/>
    <x v="0"/>
    <n v="27.11"/>
    <x v="705"/>
  </r>
  <r>
    <s v="U5819"/>
    <x v="36"/>
    <s v="UK"/>
    <x v="0"/>
    <x v="4"/>
    <n v="405"/>
    <x v="378"/>
    <x v="1"/>
    <x v="0"/>
    <x v="2"/>
    <n v="37.01"/>
    <x v="706"/>
  </r>
  <r>
    <s v="U5824"/>
    <x v="25"/>
    <s v="UK"/>
    <x v="3"/>
    <x v="1"/>
    <n v="543"/>
    <x v="189"/>
    <x v="1"/>
    <x v="1"/>
    <x v="1"/>
    <n v="72.709999999999994"/>
    <x v="707"/>
  </r>
  <r>
    <s v="U5831"/>
    <x v="8"/>
    <s v="South Korea"/>
    <x v="3"/>
    <x v="2"/>
    <n v="121"/>
    <x v="379"/>
    <x v="1"/>
    <x v="1"/>
    <x v="2"/>
    <n v="81.790000000000006"/>
    <x v="708"/>
  </r>
  <r>
    <s v="U5834"/>
    <x v="35"/>
    <s v="USA"/>
    <x v="3"/>
    <x v="2"/>
    <n v="537"/>
    <x v="121"/>
    <x v="0"/>
    <x v="0"/>
    <x v="0"/>
    <n v="86.17"/>
    <x v="709"/>
  </r>
  <r>
    <s v="U5843"/>
    <x v="37"/>
    <s v="Australia"/>
    <x v="0"/>
    <x v="4"/>
    <n v="246"/>
    <x v="348"/>
    <x v="1"/>
    <x v="0"/>
    <x v="0"/>
    <n v="50.19"/>
    <x v="710"/>
  </r>
  <r>
    <s v="U5871"/>
    <x v="23"/>
    <s v="USA"/>
    <x v="1"/>
    <x v="3"/>
    <n v="11"/>
    <x v="380"/>
    <x v="1"/>
    <x v="1"/>
    <x v="2"/>
    <n v="77.489999999999995"/>
    <x v="711"/>
  </r>
  <r>
    <s v="U5873"/>
    <x v="27"/>
    <s v="USA"/>
    <x v="2"/>
    <x v="1"/>
    <n v="372"/>
    <x v="295"/>
    <x v="4"/>
    <x v="1"/>
    <x v="1"/>
    <n v="19.649999999999999"/>
    <x v="712"/>
  </r>
  <r>
    <s v="U5875"/>
    <x v="45"/>
    <s v="USA"/>
    <x v="1"/>
    <x v="0"/>
    <n v="135"/>
    <x v="381"/>
    <x v="3"/>
    <x v="1"/>
    <x v="2"/>
    <n v="16.579999999999998"/>
    <x v="713"/>
  </r>
  <r>
    <s v="U5893"/>
    <x v="22"/>
    <s v="South Korea"/>
    <x v="3"/>
    <x v="4"/>
    <n v="564"/>
    <x v="99"/>
    <x v="0"/>
    <x v="0"/>
    <x v="0"/>
    <n v="84.18"/>
    <x v="714"/>
  </r>
  <r>
    <s v="U5902"/>
    <x v="23"/>
    <s v="UK"/>
    <x v="4"/>
    <x v="4"/>
    <n v="265"/>
    <x v="236"/>
    <x v="4"/>
    <x v="0"/>
    <x v="0"/>
    <n v="10.55"/>
    <x v="715"/>
  </r>
  <r>
    <s v="U5908"/>
    <x v="31"/>
    <s v="UK"/>
    <x v="4"/>
    <x v="0"/>
    <n v="62"/>
    <x v="382"/>
    <x v="3"/>
    <x v="1"/>
    <x v="2"/>
    <n v="50.18"/>
    <x v="716"/>
  </r>
  <r>
    <s v="U5914"/>
    <x v="34"/>
    <s v="UK"/>
    <x v="2"/>
    <x v="3"/>
    <n v="212"/>
    <x v="383"/>
    <x v="2"/>
    <x v="0"/>
    <x v="2"/>
    <n v="60.61"/>
    <x v="717"/>
  </r>
  <r>
    <s v="U5922"/>
    <x v="26"/>
    <s v="Australia"/>
    <x v="1"/>
    <x v="5"/>
    <n v="153"/>
    <x v="308"/>
    <x v="1"/>
    <x v="1"/>
    <x v="0"/>
    <n v="44.92"/>
    <x v="718"/>
  </r>
  <r>
    <s v="U5923"/>
    <x v="19"/>
    <s v="India"/>
    <x v="3"/>
    <x v="4"/>
    <n v="518"/>
    <x v="58"/>
    <x v="1"/>
    <x v="0"/>
    <x v="1"/>
    <n v="33.35"/>
    <x v="719"/>
  </r>
  <r>
    <s v="U5925"/>
    <x v="10"/>
    <s v="USA"/>
    <x v="2"/>
    <x v="4"/>
    <n v="72"/>
    <x v="224"/>
    <x v="0"/>
    <x v="1"/>
    <x v="0"/>
    <n v="24.22"/>
    <x v="720"/>
  </r>
  <r>
    <s v="U5928"/>
    <x v="43"/>
    <s v="Australia"/>
    <x v="0"/>
    <x v="5"/>
    <n v="282"/>
    <x v="60"/>
    <x v="3"/>
    <x v="0"/>
    <x v="0"/>
    <n v="86.2"/>
    <x v="721"/>
  </r>
  <r>
    <s v="U5935"/>
    <x v="27"/>
    <s v="India"/>
    <x v="4"/>
    <x v="1"/>
    <n v="45"/>
    <x v="384"/>
    <x v="2"/>
    <x v="1"/>
    <x v="1"/>
    <n v="58.88"/>
    <x v="722"/>
  </r>
  <r>
    <s v="U5942"/>
    <x v="25"/>
    <s v="UK"/>
    <x v="2"/>
    <x v="1"/>
    <n v="352"/>
    <x v="236"/>
    <x v="0"/>
    <x v="0"/>
    <x v="1"/>
    <n v="29.51"/>
    <x v="723"/>
  </r>
  <r>
    <s v="U5953"/>
    <x v="35"/>
    <s v="USA"/>
    <x v="3"/>
    <x v="3"/>
    <n v="83"/>
    <x v="385"/>
    <x v="4"/>
    <x v="0"/>
    <x v="2"/>
    <n v="89.15"/>
    <x v="724"/>
  </r>
  <r>
    <s v="U5957"/>
    <x v="47"/>
    <s v="South Korea"/>
    <x v="4"/>
    <x v="4"/>
    <n v="305"/>
    <x v="188"/>
    <x v="3"/>
    <x v="1"/>
    <x v="0"/>
    <n v="67.94"/>
    <x v="725"/>
  </r>
  <r>
    <s v="U5961"/>
    <x v="43"/>
    <s v="UK"/>
    <x v="0"/>
    <x v="2"/>
    <n v="300"/>
    <x v="324"/>
    <x v="0"/>
    <x v="1"/>
    <x v="2"/>
    <n v="38.78"/>
    <x v="726"/>
  </r>
  <r>
    <s v="U5971"/>
    <x v="38"/>
    <s v="Australia"/>
    <x v="1"/>
    <x v="3"/>
    <n v="477"/>
    <x v="159"/>
    <x v="2"/>
    <x v="0"/>
    <x v="2"/>
    <n v="26.92"/>
    <x v="727"/>
  </r>
  <r>
    <s v="U5979"/>
    <x v="47"/>
    <s v="Australia"/>
    <x v="2"/>
    <x v="2"/>
    <n v="579"/>
    <x v="345"/>
    <x v="2"/>
    <x v="0"/>
    <x v="2"/>
    <n v="35.43"/>
    <x v="728"/>
  </r>
  <r>
    <s v="U5984"/>
    <x v="19"/>
    <s v="USA"/>
    <x v="2"/>
    <x v="4"/>
    <n v="262"/>
    <x v="85"/>
    <x v="1"/>
    <x v="1"/>
    <x v="1"/>
    <n v="69.53"/>
    <x v="729"/>
  </r>
  <r>
    <s v="U5996"/>
    <x v="22"/>
    <s v="Australia"/>
    <x v="1"/>
    <x v="2"/>
    <n v="225"/>
    <x v="155"/>
    <x v="3"/>
    <x v="1"/>
    <x v="0"/>
    <n v="17.079999999999998"/>
    <x v="7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893E0F-C145-464D-80C0-AAA5DA5D6B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location ref="A3:B9" firstHeaderRow="1" firstDataRow="1" firstDataCol="1"/>
  <pivotFields count="12">
    <pivotField showAll="0"/>
    <pivotField axis="axisRow" showAll="0">
      <items count="8">
        <item x="0"/>
        <item x="1"/>
        <item x="2"/>
        <item x="3"/>
        <item x="4"/>
        <item x="5"/>
        <item x="6"/>
        <item t="default"/>
      </items>
    </pivotField>
    <pivotField showAll="0"/>
    <pivotField showAll="0"/>
    <pivotField showAll="0">
      <items count="7">
        <item x="3"/>
        <item x="0"/>
        <item x="2"/>
        <item x="5"/>
        <item x="1"/>
        <item x="4"/>
        <item t="default"/>
      </items>
    </pivotField>
    <pivotField showAll="0"/>
    <pivotField dataField="1" showAll="0"/>
    <pivotField showAll="0"/>
    <pivotField showAll="0"/>
    <pivotField showAll="0"/>
    <pivotField showAll="0"/>
    <pivotField showAll="0"/>
  </pivotFields>
  <rowFields count="1">
    <field x="1"/>
  </rowFields>
  <rowItems count="6">
    <i>
      <x v="1"/>
    </i>
    <i>
      <x v="2"/>
    </i>
    <i>
      <x v="3"/>
    </i>
    <i>
      <x v="4"/>
    </i>
    <i>
      <x v="5"/>
    </i>
    <i t="grand">
      <x/>
    </i>
  </rowItems>
  <colItems count="1">
    <i/>
  </colItems>
  <dataFields count="1">
    <dataField name="Average of Number of Songs Liked" fld="6" subtotal="average" baseField="1" baseItem="1" numFmtId="1"/>
  </dataFields>
  <formats count="19">
    <format dxfId="102">
      <pivotArea outline="0" collapsedLevelsAreSubtotals="1" fieldPosition="0"/>
    </format>
    <format dxfId="20">
      <pivotArea type="all" dataOnly="0" outline="0" fieldPosition="0"/>
    </format>
    <format dxfId="19">
      <pivotArea outline="0" collapsedLevelsAreSubtotals="1" fieldPosition="0"/>
    </format>
    <format dxfId="18">
      <pivotArea field="1" type="button" dataOnly="0" labelOnly="1" outline="0" axis="axisRow" fieldPosition="0"/>
    </format>
    <format dxfId="17">
      <pivotArea dataOnly="0" labelOnly="1" fieldPosition="0">
        <references count="1">
          <reference field="1" count="5">
            <x v="1"/>
            <x v="2"/>
            <x v="3"/>
            <x v="4"/>
            <x v="5"/>
          </reference>
        </references>
      </pivotArea>
    </format>
    <format dxfId="16">
      <pivotArea dataOnly="0" labelOnly="1" grandRow="1" outline="0" fieldPosition="0"/>
    </format>
    <format dxfId="15">
      <pivotArea dataOnly="0" labelOnly="1" outline="0" axis="axisValues" fieldPosition="0"/>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5">
            <x v="1"/>
            <x v="2"/>
            <x v="3"/>
            <x v="4"/>
            <x v="5"/>
          </reference>
        </references>
      </pivotArea>
    </format>
    <format dxfId="9">
      <pivotArea dataOnly="0" labelOnly="1" grandRow="1" outline="0" fieldPosition="0"/>
    </format>
    <format dxfId="8">
      <pivotArea dataOnly="0" labelOnly="1" outline="0" axis="axisValues"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5">
            <x v="1"/>
            <x v="2"/>
            <x v="3"/>
            <x v="4"/>
            <x v="5"/>
          </reference>
        </references>
      </pivotArea>
    </format>
    <format dxfId="2">
      <pivotArea dataOnly="0" labelOnly="1" grandRow="1" outline="0" fieldPosition="0"/>
    </format>
    <format dxfId="1">
      <pivotArea dataOnly="0" labelOnly="1" outline="0" axis="axisValues"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063652-93F0-4216-9197-72A4DF49BBC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Artist" colHeaderCaption="Top Genre">
  <location ref="D1:E7" firstHeaderRow="1" firstDataRow="1" firstDataCol="1"/>
  <pivotFields count="12">
    <pivotField showAll="0"/>
    <pivotField showAll="0">
      <items count="8">
        <item x="0"/>
        <item x="1"/>
        <item x="2"/>
        <item x="3"/>
        <item x="4"/>
        <item x="5"/>
        <item x="6"/>
        <item t="default"/>
      </items>
    </pivotField>
    <pivotField showAll="0"/>
    <pivotField showAll="0">
      <items count="7">
        <item x="4"/>
        <item x="2"/>
        <item x="1"/>
        <item x="5"/>
        <item x="0"/>
        <item x="3"/>
        <item t="default"/>
      </items>
    </pivotField>
    <pivotField showAll="0">
      <items count="7">
        <item x="3"/>
        <item x="0"/>
        <item x="2"/>
        <item x="5"/>
        <item x="1"/>
        <item x="4"/>
        <item t="default"/>
      </items>
    </pivotField>
    <pivotField showAll="0"/>
    <pivotField showAll="0">
      <items count="8">
        <item x="0"/>
        <item x="1"/>
        <item x="2"/>
        <item x="3"/>
        <item x="4"/>
        <item x="5"/>
        <item x="6"/>
        <item t="default"/>
      </items>
    </pivotField>
    <pivotField axis="axisRow" dataField="1" showAll="0">
      <items count="6">
        <item x="4"/>
        <item x="0"/>
        <item x="3"/>
        <item x="2"/>
        <item x="1"/>
        <item t="default"/>
      </items>
    </pivotField>
    <pivotField showAll="0"/>
    <pivotField showAll="0"/>
    <pivotField showAll="0"/>
    <pivotField showAll="0">
      <items count="732">
        <item x="695"/>
        <item x="344"/>
        <item x="184"/>
        <item x="729"/>
        <item x="47"/>
        <item x="442"/>
        <item x="489"/>
        <item x="450"/>
        <item x="291"/>
        <item x="232"/>
        <item x="359"/>
        <item x="183"/>
        <item x="496"/>
        <item x="37"/>
        <item x="706"/>
        <item x="156"/>
        <item x="591"/>
        <item x="43"/>
        <item x="384"/>
        <item x="118"/>
        <item x="479"/>
        <item x="420"/>
        <item x="493"/>
        <item x="303"/>
        <item x="545"/>
        <item x="692"/>
        <item x="518"/>
        <item x="459"/>
        <item x="399"/>
        <item x="724"/>
        <item x="700"/>
        <item x="377"/>
        <item x="563"/>
        <item x="577"/>
        <item x="256"/>
        <item x="147"/>
        <item x="1"/>
        <item x="258"/>
        <item x="332"/>
        <item x="315"/>
        <item x="122"/>
        <item x="259"/>
        <item x="221"/>
        <item x="108"/>
        <item x="174"/>
        <item x="34"/>
        <item x="533"/>
        <item x="718"/>
        <item x="667"/>
        <item x="721"/>
        <item x="669"/>
        <item x="447"/>
        <item x="128"/>
        <item x="112"/>
        <item x="225"/>
        <item x="48"/>
        <item x="234"/>
        <item x="275"/>
        <item x="60"/>
        <item x="16"/>
        <item x="632"/>
        <item x="364"/>
        <item x="585"/>
        <item x="237"/>
        <item x="49"/>
        <item x="92"/>
        <item x="671"/>
        <item x="662"/>
        <item x="81"/>
        <item x="653"/>
        <item x="279"/>
        <item x="24"/>
        <item x="250"/>
        <item x="416"/>
        <item x="76"/>
        <item x="546"/>
        <item x="436"/>
        <item x="178"/>
        <item x="278"/>
        <item x="280"/>
        <item x="99"/>
        <item x="410"/>
        <item x="57"/>
        <item x="391"/>
        <item x="536"/>
        <item x="56"/>
        <item x="14"/>
        <item x="556"/>
        <item x="490"/>
        <item x="25"/>
        <item x="209"/>
        <item x="418"/>
        <item x="260"/>
        <item x="462"/>
        <item x="605"/>
        <item x="535"/>
        <item x="515"/>
        <item x="113"/>
        <item x="610"/>
        <item x="541"/>
        <item x="606"/>
        <item x="633"/>
        <item x="322"/>
        <item x="193"/>
        <item x="559"/>
        <item x="188"/>
        <item x="526"/>
        <item x="690"/>
        <item x="378"/>
        <item x="390"/>
        <item x="297"/>
        <item x="474"/>
        <item x="372"/>
        <item x="478"/>
        <item x="602"/>
        <item x="448"/>
        <item x="89"/>
        <item x="236"/>
        <item x="443"/>
        <item x="696"/>
        <item x="506"/>
        <item x="603"/>
        <item x="640"/>
        <item x="267"/>
        <item x="579"/>
        <item x="528"/>
        <item x="363"/>
        <item x="509"/>
        <item x="7"/>
        <item x="396"/>
        <item x="290"/>
        <item x="135"/>
        <item x="349"/>
        <item x="353"/>
        <item x="64"/>
        <item x="109"/>
        <item x="134"/>
        <item x="330"/>
        <item x="701"/>
        <item x="21"/>
        <item x="356"/>
        <item x="41"/>
        <item x="470"/>
        <item x="12"/>
        <item x="340"/>
        <item x="674"/>
        <item x="386"/>
        <item x="301"/>
        <item x="538"/>
        <item x="376"/>
        <item x="421"/>
        <item x="27"/>
        <item x="207"/>
        <item x="678"/>
        <item x="675"/>
        <item x="452"/>
        <item x="643"/>
        <item x="679"/>
        <item x="264"/>
        <item x="217"/>
        <item x="200"/>
        <item x="430"/>
        <item x="634"/>
        <item x="365"/>
        <item x="78"/>
        <item x="220"/>
        <item x="411"/>
        <item x="296"/>
        <item x="480"/>
        <item x="405"/>
        <item x="39"/>
        <item x="647"/>
        <item x="243"/>
        <item x="302"/>
        <item x="6"/>
        <item x="571"/>
        <item x="97"/>
        <item x="666"/>
        <item x="247"/>
        <item x="255"/>
        <item x="551"/>
        <item x="117"/>
        <item x="685"/>
        <item x="119"/>
        <item x="360"/>
        <item x="249"/>
        <item x="313"/>
        <item x="698"/>
        <item x="417"/>
        <item x="504"/>
        <item x="581"/>
        <item x="466"/>
        <item x="63"/>
        <item x="389"/>
        <item x="312"/>
        <item x="368"/>
        <item x="355"/>
        <item x="77"/>
        <item x="583"/>
        <item x="114"/>
        <item x="467"/>
        <item x="413"/>
        <item x="26"/>
        <item x="262"/>
        <item x="663"/>
        <item x="719"/>
        <item x="564"/>
        <item x="185"/>
        <item x="142"/>
        <item x="240"/>
        <item x="590"/>
        <item x="270"/>
        <item x="347"/>
        <item x="274"/>
        <item x="473"/>
        <item x="324"/>
        <item x="269"/>
        <item x="449"/>
        <item x="168"/>
        <item x="23"/>
        <item x="431"/>
        <item x="599"/>
        <item x="705"/>
        <item x="562"/>
        <item x="129"/>
        <item x="62"/>
        <item x="659"/>
        <item x="460"/>
        <item x="646"/>
        <item x="434"/>
        <item x="235"/>
        <item x="292"/>
        <item x="614"/>
        <item x="126"/>
        <item x="387"/>
        <item x="576"/>
        <item x="319"/>
        <item x="523"/>
        <item x="239"/>
        <item x="607"/>
        <item x="612"/>
        <item x="654"/>
        <item x="482"/>
        <item x="475"/>
        <item x="219"/>
        <item x="123"/>
        <item x="70"/>
        <item x="261"/>
        <item x="67"/>
        <item x="233"/>
        <item x="409"/>
        <item x="140"/>
        <item x="682"/>
        <item x="329"/>
        <item x="630"/>
        <item x="210"/>
        <item x="282"/>
        <item x="406"/>
        <item x="716"/>
        <item x="717"/>
        <item x="125"/>
        <item x="604"/>
        <item x="710"/>
        <item x="180"/>
        <item x="28"/>
        <item x="191"/>
        <item x="660"/>
        <item x="530"/>
        <item x="394"/>
        <item x="187"/>
        <item x="46"/>
        <item x="712"/>
        <item x="309"/>
        <item x="17"/>
        <item x="104"/>
        <item x="594"/>
        <item x="463"/>
        <item x="423"/>
        <item x="404"/>
        <item x="96"/>
        <item x="665"/>
        <item x="71"/>
        <item x="146"/>
        <item x="534"/>
        <item x="723"/>
        <item x="537"/>
        <item x="192"/>
        <item x="626"/>
        <item x="226"/>
        <item x="287"/>
        <item x="20"/>
        <item x="422"/>
        <item x="242"/>
        <item x="395"/>
        <item x="655"/>
        <item x="131"/>
        <item x="102"/>
        <item x="230"/>
        <item x="18"/>
        <item x="652"/>
        <item x="709"/>
        <item x="697"/>
        <item x="286"/>
        <item x="398"/>
        <item x="346"/>
        <item x="285"/>
        <item x="631"/>
        <item x="625"/>
        <item x="707"/>
        <item x="401"/>
        <item x="501"/>
        <item x="130"/>
        <item x="152"/>
        <item x="277"/>
        <item x="507"/>
        <item x="132"/>
        <item x="204"/>
        <item x="337"/>
        <item x="141"/>
        <item x="29"/>
        <item x="224"/>
        <item x="693"/>
        <item x="670"/>
        <item x="694"/>
        <item x="621"/>
        <item x="161"/>
        <item x="158"/>
        <item x="454"/>
        <item x="229"/>
        <item x="357"/>
        <item x="345"/>
        <item x="388"/>
        <item x="514"/>
        <item x="44"/>
        <item x="680"/>
        <item x="0"/>
        <item x="620"/>
        <item x="713"/>
        <item x="153"/>
        <item x="691"/>
        <item x="175"/>
        <item x="521"/>
        <item x="684"/>
        <item x="95"/>
        <item x="494"/>
        <item x="645"/>
        <item x="212"/>
        <item x="194"/>
        <item x="522"/>
        <item x="635"/>
        <item x="227"/>
        <item x="722"/>
        <item x="649"/>
        <item x="616"/>
        <item x="271"/>
        <item x="629"/>
        <item x="464"/>
        <item x="120"/>
        <item x="544"/>
        <item x="397"/>
        <item x="245"/>
        <item x="335"/>
        <item x="266"/>
        <item x="728"/>
        <item x="552"/>
        <item x="683"/>
        <item x="457"/>
        <item x="138"/>
        <item x="169"/>
        <item x="136"/>
        <item x="149"/>
        <item x="257"/>
        <item x="618"/>
        <item x="638"/>
        <item x="61"/>
        <item x="495"/>
        <item x="31"/>
        <item x="163"/>
        <item x="548"/>
        <item x="547"/>
        <item x="609"/>
        <item x="93"/>
        <item x="628"/>
        <item x="588"/>
        <item x="440"/>
        <item x="688"/>
        <item x="622"/>
        <item x="668"/>
        <item x="644"/>
        <item x="527"/>
        <item x="51"/>
        <item x="205"/>
        <item x="79"/>
        <item x="213"/>
        <item x="352"/>
        <item x="441"/>
        <item x="476"/>
        <item x="106"/>
        <item x="488"/>
        <item x="327"/>
        <item x="223"/>
        <item x="52"/>
        <item x="461"/>
        <item x="586"/>
        <item x="199"/>
        <item x="595"/>
        <item x="568"/>
        <item x="596"/>
        <item x="481"/>
        <item x="172"/>
        <item x="3"/>
        <item x="9"/>
        <item x="74"/>
        <item x="424"/>
        <item x="375"/>
        <item x="371"/>
        <item x="189"/>
        <item x="613"/>
        <item x="159"/>
        <item x="133"/>
        <item x="444"/>
        <item x="94"/>
        <item x="539"/>
        <item x="173"/>
        <item x="105"/>
        <item x="380"/>
        <item x="672"/>
        <item x="228"/>
        <item x="201"/>
        <item x="407"/>
        <item x="244"/>
        <item x="727"/>
        <item x="253"/>
        <item x="651"/>
        <item x="167"/>
        <item x="374"/>
        <item x="601"/>
        <item x="115"/>
        <item x="531"/>
        <item x="300"/>
        <item x="323"/>
        <item x="326"/>
        <item x="248"/>
        <item x="22"/>
        <item x="428"/>
        <item x="294"/>
        <item x="195"/>
        <item x="265"/>
        <item x="543"/>
        <item x="190"/>
        <item x="121"/>
        <item x="486"/>
        <item x="370"/>
        <item x="658"/>
        <item x="511"/>
        <item x="144"/>
        <item x="532"/>
        <item x="238"/>
        <item x="72"/>
        <item x="211"/>
        <item x="726"/>
        <item x="500"/>
        <item x="570"/>
        <item x="637"/>
        <item x="708"/>
        <item x="502"/>
        <item x="45"/>
        <item x="86"/>
        <item x="623"/>
        <item x="246"/>
        <item x="572"/>
        <item x="310"/>
        <item x="339"/>
        <item x="426"/>
        <item x="171"/>
        <item x="203"/>
        <item x="4"/>
        <item x="182"/>
        <item x="198"/>
        <item x="673"/>
        <item x="35"/>
        <item x="566"/>
        <item x="676"/>
        <item x="351"/>
        <item x="162"/>
        <item x="385"/>
        <item x="498"/>
        <item x="15"/>
        <item x="206"/>
        <item x="5"/>
        <item x="30"/>
        <item x="13"/>
        <item x="557"/>
        <item x="611"/>
        <item x="677"/>
        <item x="208"/>
        <item x="516"/>
        <item x="427"/>
        <item x="446"/>
        <item x="308"/>
        <item x="419"/>
        <item x="311"/>
        <item x="65"/>
        <item x="657"/>
        <item x="704"/>
        <item x="55"/>
        <item x="664"/>
        <item x="320"/>
        <item x="497"/>
        <item x="525"/>
        <item x="578"/>
        <item x="542"/>
        <item x="465"/>
        <item x="513"/>
        <item x="268"/>
        <item x="540"/>
        <item x="485"/>
        <item x="686"/>
        <item x="75"/>
        <item x="80"/>
        <item x="218"/>
        <item x="549"/>
        <item x="650"/>
        <item x="730"/>
        <item x="155"/>
        <item x="619"/>
        <item x="222"/>
        <item x="38"/>
        <item x="400"/>
        <item x="414"/>
        <item x="381"/>
        <item x="567"/>
        <item x="241"/>
        <item x="143"/>
        <item x="505"/>
        <item x="689"/>
        <item x="331"/>
        <item x="636"/>
        <item x="435"/>
        <item x="456"/>
        <item x="321"/>
        <item x="10"/>
        <item x="439"/>
        <item x="59"/>
        <item x="288"/>
        <item x="348"/>
        <item x="318"/>
        <item x="492"/>
        <item x="111"/>
        <item x="648"/>
        <item x="214"/>
        <item x="714"/>
        <item x="137"/>
        <item x="254"/>
        <item x="512"/>
        <item x="336"/>
        <item x="477"/>
        <item x="608"/>
        <item x="197"/>
        <item x="8"/>
        <item x="558"/>
        <item x="661"/>
        <item x="307"/>
        <item x="69"/>
        <item x="617"/>
        <item x="382"/>
        <item x="157"/>
        <item x="519"/>
        <item x="366"/>
        <item x="252"/>
        <item x="580"/>
        <item x="600"/>
        <item x="177"/>
        <item x="598"/>
        <item x="624"/>
        <item x="529"/>
        <item x="468"/>
        <item x="32"/>
        <item x="88"/>
        <item x="341"/>
        <item x="725"/>
        <item x="170"/>
        <item x="392"/>
        <item x="40"/>
        <item x="124"/>
        <item x="471"/>
        <item x="90"/>
        <item x="338"/>
        <item x="574"/>
        <item x="127"/>
        <item x="429"/>
        <item x="472"/>
        <item x="202"/>
        <item x="597"/>
        <item x="36"/>
        <item x="469"/>
        <item x="73"/>
        <item x="615"/>
        <item x="50"/>
        <item x="181"/>
        <item x="589"/>
        <item x="139"/>
        <item x="160"/>
        <item x="367"/>
        <item x="33"/>
        <item x="166"/>
        <item x="438"/>
        <item x="499"/>
        <item x="451"/>
        <item x="639"/>
        <item x="627"/>
        <item x="216"/>
        <item x="304"/>
        <item x="393"/>
        <item x="66"/>
        <item x="179"/>
        <item x="582"/>
        <item x="148"/>
        <item x="403"/>
        <item x="517"/>
        <item x="483"/>
        <item x="110"/>
        <item x="333"/>
        <item x="379"/>
        <item x="641"/>
        <item x="150"/>
        <item x="593"/>
        <item x="145"/>
        <item x="687"/>
        <item x="524"/>
        <item x="328"/>
        <item x="215"/>
        <item x="299"/>
        <item x="165"/>
        <item x="334"/>
        <item x="101"/>
        <item x="281"/>
        <item x="445"/>
        <item x="703"/>
        <item x="681"/>
        <item x="343"/>
        <item x="699"/>
        <item x="283"/>
        <item x="53"/>
        <item x="433"/>
        <item x="569"/>
        <item x="508"/>
        <item x="58"/>
        <item x="642"/>
        <item x="276"/>
        <item x="354"/>
        <item x="555"/>
        <item x="164"/>
        <item x="231"/>
        <item x="314"/>
        <item x="116"/>
        <item x="87"/>
        <item x="412"/>
        <item x="11"/>
        <item x="54"/>
        <item x="295"/>
        <item x="432"/>
        <item x="573"/>
        <item x="362"/>
        <item x="592"/>
        <item x="656"/>
        <item x="176"/>
        <item x="305"/>
        <item x="284"/>
        <item x="361"/>
        <item x="383"/>
        <item x="107"/>
        <item x="84"/>
        <item x="369"/>
        <item x="415"/>
        <item x="453"/>
        <item x="85"/>
        <item x="402"/>
        <item x="715"/>
        <item x="554"/>
        <item x="560"/>
        <item x="425"/>
        <item x="103"/>
        <item x="491"/>
        <item x="83"/>
        <item x="711"/>
        <item x="702"/>
        <item x="2"/>
        <item x="317"/>
        <item x="484"/>
        <item x="251"/>
        <item x="584"/>
        <item x="550"/>
        <item x="82"/>
        <item x="437"/>
        <item x="289"/>
        <item x="455"/>
        <item x="325"/>
        <item x="350"/>
        <item x="587"/>
        <item x="91"/>
        <item x="520"/>
        <item x="273"/>
        <item x="293"/>
        <item x="575"/>
        <item x="196"/>
        <item x="98"/>
        <item x="151"/>
        <item x="306"/>
        <item x="487"/>
        <item x="373"/>
        <item x="100"/>
        <item x="272"/>
        <item x="342"/>
        <item x="263"/>
        <item x="720"/>
        <item x="510"/>
        <item x="458"/>
        <item x="298"/>
        <item x="68"/>
        <item x="186"/>
        <item x="42"/>
        <item x="565"/>
        <item x="408"/>
        <item x="154"/>
        <item x="553"/>
        <item x="358"/>
        <item x="503"/>
        <item x="561"/>
        <item x="19"/>
        <item x="316"/>
        <item t="default"/>
      </items>
    </pivotField>
  </pivotFields>
  <rowFields count="1">
    <field x="7"/>
  </rowFields>
  <rowItems count="6">
    <i>
      <x/>
    </i>
    <i>
      <x v="1"/>
    </i>
    <i>
      <x v="2"/>
    </i>
    <i>
      <x v="3"/>
    </i>
    <i>
      <x v="4"/>
    </i>
    <i t="grand">
      <x/>
    </i>
  </rowItems>
  <colItems count="1">
    <i/>
  </colItems>
  <dataFields count="1">
    <dataField name="Count of Most Played Artist" fld="7" subtotal="count" showDataAs="percentOfCol" baseField="0" baseItem="0" numFmtId="10"/>
  </dataFields>
  <formats count="18">
    <format dxfId="101">
      <pivotArea type="all" dataOnly="0" outline="0" fieldPosition="0"/>
    </format>
    <format dxfId="100">
      <pivotArea outline="0" collapsedLevelsAreSubtotals="1" fieldPosition="0"/>
    </format>
    <format dxfId="99">
      <pivotArea field="7" type="button" dataOnly="0" labelOnly="1" outline="0" axis="axisRow" fieldPosition="0"/>
    </format>
    <format dxfId="98">
      <pivotArea dataOnly="0" labelOnly="1" fieldPosition="0">
        <references count="1">
          <reference field="7"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7" type="button" dataOnly="0" labelOnly="1" outline="0" axis="axisRow" fieldPosition="0"/>
    </format>
    <format dxfId="92">
      <pivotArea dataOnly="0" labelOnly="1" fieldPosition="0">
        <references count="1">
          <reference field="7"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7" type="button" dataOnly="0" labelOnly="1" outline="0" axis="axisRow" fieldPosition="0"/>
    </format>
    <format dxfId="86">
      <pivotArea dataOnly="0" labelOnly="1" fieldPosition="0">
        <references count="1">
          <reference field="7" count="0"/>
        </references>
      </pivotArea>
    </format>
    <format dxfId="85">
      <pivotArea dataOnly="0" labelOnly="1" grandRow="1" outline="0" fieldPosition="0"/>
    </format>
    <format dxfId="84">
      <pivotArea dataOnly="0" labelOnly="1" outline="0" axis="axisValues" fieldPosition="0"/>
    </format>
  </format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2"/>
          </reference>
        </references>
      </pivotArea>
    </chartFormat>
    <chartFormat chart="13" format="3">
      <pivotArea type="data" outline="0" fieldPosition="0">
        <references count="2">
          <reference field="4294967294" count="1" selected="0">
            <x v="0"/>
          </reference>
          <reference field="7"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7" count="1" selected="0">
            <x v="0"/>
          </reference>
        </references>
      </pivotArea>
    </chartFormat>
    <chartFormat chart="17" format="12">
      <pivotArea type="data" outline="0" fieldPosition="0">
        <references count="2">
          <reference field="4294967294" count="1" selected="0">
            <x v="0"/>
          </reference>
          <reference field="7" count="1" selected="0">
            <x v="1"/>
          </reference>
        </references>
      </pivotArea>
    </chartFormat>
    <chartFormat chart="17" format="13">
      <pivotArea type="data" outline="0" fieldPosition="0">
        <references count="2">
          <reference field="4294967294" count="1" selected="0">
            <x v="0"/>
          </reference>
          <reference field="7" count="1" selected="0">
            <x v="2"/>
          </reference>
        </references>
      </pivotArea>
    </chartFormat>
    <chartFormat chart="17" format="14">
      <pivotArea type="data" outline="0" fieldPosition="0">
        <references count="2">
          <reference field="4294967294" count="1" selected="0">
            <x v="0"/>
          </reference>
          <reference field="7" count="1" selected="0">
            <x v="3"/>
          </reference>
        </references>
      </pivotArea>
    </chartFormat>
    <chartFormat chart="17" format="15">
      <pivotArea type="data" outline="0" fieldPosition="0">
        <references count="2">
          <reference field="4294967294" count="1" selected="0">
            <x v="0"/>
          </reference>
          <reference field="7" count="1" selected="0">
            <x v="4"/>
          </reference>
        </references>
      </pivotArea>
    </chartFormat>
    <chartFormat chart="13" format="4">
      <pivotArea type="data" outline="0" fieldPosition="0">
        <references count="2">
          <reference field="4294967294" count="1" selected="0">
            <x v="0"/>
          </reference>
          <reference field="7" count="1" selected="0">
            <x v="1"/>
          </reference>
        </references>
      </pivotArea>
    </chartFormat>
    <chartFormat chart="13"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93D6E5-0E48-4C02-8D5E-B52C2C0F19F0}"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Artist" colHeaderCaption="Top Genre">
  <location ref="A1:E8" firstHeaderRow="1" firstDataRow="2" firstDataCol="1"/>
  <pivotFields count="12">
    <pivotField showAll="0"/>
    <pivotField showAll="0">
      <items count="8">
        <item x="0"/>
        <item x="1"/>
        <item x="2"/>
        <item x="3"/>
        <item x="4"/>
        <item x="5"/>
        <item x="6"/>
        <item t="default"/>
      </items>
    </pivotField>
    <pivotField showAll="0"/>
    <pivotField showAll="0">
      <items count="7">
        <item x="4"/>
        <item x="2"/>
        <item x="1"/>
        <item x="5"/>
        <item x="0"/>
        <item x="3"/>
        <item t="default"/>
      </items>
    </pivotField>
    <pivotField showAll="0">
      <items count="7">
        <item x="3"/>
        <item x="0"/>
        <item x="2"/>
        <item x="5"/>
        <item x="1"/>
        <item x="4"/>
        <item t="default"/>
      </items>
    </pivotField>
    <pivotField showAll="0"/>
    <pivotField showAll="0">
      <items count="8">
        <item x="0"/>
        <item x="1"/>
        <item x="2"/>
        <item x="3"/>
        <item x="4"/>
        <item x="5"/>
        <item x="6"/>
        <item t="default"/>
      </items>
    </pivotField>
    <pivotField axis="axisRow" showAll="0">
      <items count="6">
        <item x="4"/>
        <item x="0"/>
        <item x="3"/>
        <item x="2"/>
        <item x="1"/>
        <item t="default"/>
      </items>
    </pivotField>
    <pivotField showAll="0">
      <items count="3">
        <item x="0"/>
        <item x="1"/>
        <item t="default"/>
      </items>
    </pivotField>
    <pivotField axis="axisCol" showAll="0">
      <items count="4">
        <item x="1"/>
        <item x="2"/>
        <item x="0"/>
        <item t="default"/>
      </items>
    </pivotField>
    <pivotField showAll="0"/>
    <pivotField dataField="1" showAll="0">
      <items count="732">
        <item x="695"/>
        <item x="344"/>
        <item x="184"/>
        <item x="729"/>
        <item x="47"/>
        <item x="442"/>
        <item x="489"/>
        <item x="450"/>
        <item x="291"/>
        <item x="232"/>
        <item x="359"/>
        <item x="183"/>
        <item x="496"/>
        <item x="37"/>
        <item x="706"/>
        <item x="156"/>
        <item x="591"/>
        <item x="43"/>
        <item x="384"/>
        <item x="118"/>
        <item x="479"/>
        <item x="420"/>
        <item x="493"/>
        <item x="303"/>
        <item x="545"/>
        <item x="692"/>
        <item x="518"/>
        <item x="459"/>
        <item x="399"/>
        <item x="724"/>
        <item x="700"/>
        <item x="377"/>
        <item x="563"/>
        <item x="577"/>
        <item x="256"/>
        <item x="147"/>
        <item x="1"/>
        <item x="258"/>
        <item x="332"/>
        <item x="315"/>
        <item x="122"/>
        <item x="259"/>
        <item x="221"/>
        <item x="108"/>
        <item x="174"/>
        <item x="34"/>
        <item x="533"/>
        <item x="718"/>
        <item x="667"/>
        <item x="721"/>
        <item x="669"/>
        <item x="447"/>
        <item x="128"/>
        <item x="112"/>
        <item x="225"/>
        <item x="48"/>
        <item x="234"/>
        <item x="275"/>
        <item x="60"/>
        <item x="16"/>
        <item x="632"/>
        <item x="364"/>
        <item x="585"/>
        <item x="237"/>
        <item x="49"/>
        <item x="92"/>
        <item x="671"/>
        <item x="662"/>
        <item x="81"/>
        <item x="653"/>
        <item x="279"/>
        <item x="24"/>
        <item x="250"/>
        <item x="416"/>
        <item x="76"/>
        <item x="546"/>
        <item x="436"/>
        <item x="178"/>
        <item x="278"/>
        <item x="280"/>
        <item x="99"/>
        <item x="410"/>
        <item x="57"/>
        <item x="391"/>
        <item x="536"/>
        <item x="56"/>
        <item x="14"/>
        <item x="556"/>
        <item x="490"/>
        <item x="25"/>
        <item x="209"/>
        <item x="418"/>
        <item x="260"/>
        <item x="462"/>
        <item x="605"/>
        <item x="535"/>
        <item x="515"/>
        <item x="113"/>
        <item x="610"/>
        <item x="541"/>
        <item x="606"/>
        <item x="633"/>
        <item x="322"/>
        <item x="193"/>
        <item x="559"/>
        <item x="188"/>
        <item x="526"/>
        <item x="690"/>
        <item x="378"/>
        <item x="390"/>
        <item x="297"/>
        <item x="474"/>
        <item x="372"/>
        <item x="478"/>
        <item x="602"/>
        <item x="448"/>
        <item x="89"/>
        <item x="236"/>
        <item x="443"/>
        <item x="696"/>
        <item x="506"/>
        <item x="603"/>
        <item x="640"/>
        <item x="267"/>
        <item x="579"/>
        <item x="528"/>
        <item x="363"/>
        <item x="509"/>
        <item x="7"/>
        <item x="396"/>
        <item x="290"/>
        <item x="135"/>
        <item x="349"/>
        <item x="353"/>
        <item x="64"/>
        <item x="109"/>
        <item x="134"/>
        <item x="330"/>
        <item x="701"/>
        <item x="21"/>
        <item x="356"/>
        <item x="41"/>
        <item x="470"/>
        <item x="12"/>
        <item x="340"/>
        <item x="674"/>
        <item x="386"/>
        <item x="301"/>
        <item x="538"/>
        <item x="376"/>
        <item x="421"/>
        <item x="27"/>
        <item x="207"/>
        <item x="678"/>
        <item x="675"/>
        <item x="452"/>
        <item x="643"/>
        <item x="679"/>
        <item x="264"/>
        <item x="217"/>
        <item x="200"/>
        <item x="430"/>
        <item x="634"/>
        <item x="365"/>
        <item x="78"/>
        <item x="220"/>
        <item x="411"/>
        <item x="296"/>
        <item x="480"/>
        <item x="405"/>
        <item x="39"/>
        <item x="647"/>
        <item x="243"/>
        <item x="302"/>
        <item x="6"/>
        <item x="571"/>
        <item x="97"/>
        <item x="666"/>
        <item x="247"/>
        <item x="255"/>
        <item x="551"/>
        <item x="117"/>
        <item x="685"/>
        <item x="119"/>
        <item x="360"/>
        <item x="249"/>
        <item x="313"/>
        <item x="698"/>
        <item x="417"/>
        <item x="504"/>
        <item x="581"/>
        <item x="466"/>
        <item x="63"/>
        <item x="389"/>
        <item x="312"/>
        <item x="368"/>
        <item x="355"/>
        <item x="77"/>
        <item x="583"/>
        <item x="114"/>
        <item x="467"/>
        <item x="413"/>
        <item x="26"/>
        <item x="262"/>
        <item x="663"/>
        <item x="719"/>
        <item x="564"/>
        <item x="185"/>
        <item x="142"/>
        <item x="240"/>
        <item x="590"/>
        <item x="270"/>
        <item x="347"/>
        <item x="274"/>
        <item x="473"/>
        <item x="324"/>
        <item x="269"/>
        <item x="449"/>
        <item x="168"/>
        <item x="23"/>
        <item x="431"/>
        <item x="599"/>
        <item x="705"/>
        <item x="562"/>
        <item x="129"/>
        <item x="62"/>
        <item x="659"/>
        <item x="460"/>
        <item x="646"/>
        <item x="434"/>
        <item x="235"/>
        <item x="292"/>
        <item x="614"/>
        <item x="126"/>
        <item x="387"/>
        <item x="576"/>
        <item x="319"/>
        <item x="523"/>
        <item x="239"/>
        <item x="607"/>
        <item x="612"/>
        <item x="654"/>
        <item x="482"/>
        <item x="475"/>
        <item x="219"/>
        <item x="123"/>
        <item x="70"/>
        <item x="261"/>
        <item x="67"/>
        <item x="233"/>
        <item x="409"/>
        <item x="140"/>
        <item x="682"/>
        <item x="329"/>
        <item x="630"/>
        <item x="210"/>
        <item x="282"/>
        <item x="406"/>
        <item x="716"/>
        <item x="717"/>
        <item x="125"/>
        <item x="604"/>
        <item x="710"/>
        <item x="180"/>
        <item x="28"/>
        <item x="191"/>
        <item x="660"/>
        <item x="530"/>
        <item x="394"/>
        <item x="187"/>
        <item x="46"/>
        <item x="712"/>
        <item x="309"/>
        <item x="17"/>
        <item x="104"/>
        <item x="594"/>
        <item x="463"/>
        <item x="423"/>
        <item x="404"/>
        <item x="96"/>
        <item x="665"/>
        <item x="71"/>
        <item x="146"/>
        <item x="534"/>
        <item x="723"/>
        <item x="537"/>
        <item x="192"/>
        <item x="626"/>
        <item x="226"/>
        <item x="287"/>
        <item x="20"/>
        <item x="422"/>
        <item x="242"/>
        <item x="395"/>
        <item x="655"/>
        <item x="131"/>
        <item x="102"/>
        <item x="230"/>
        <item x="18"/>
        <item x="652"/>
        <item x="709"/>
        <item x="697"/>
        <item x="286"/>
        <item x="398"/>
        <item x="346"/>
        <item x="285"/>
        <item x="631"/>
        <item x="625"/>
        <item x="707"/>
        <item x="401"/>
        <item x="501"/>
        <item x="130"/>
        <item x="152"/>
        <item x="277"/>
        <item x="507"/>
        <item x="132"/>
        <item x="204"/>
        <item x="337"/>
        <item x="141"/>
        <item x="29"/>
        <item x="224"/>
        <item x="693"/>
        <item x="670"/>
        <item x="694"/>
        <item x="621"/>
        <item x="161"/>
        <item x="158"/>
        <item x="454"/>
        <item x="229"/>
        <item x="357"/>
        <item x="345"/>
        <item x="388"/>
        <item x="514"/>
        <item x="44"/>
        <item x="680"/>
        <item x="0"/>
        <item x="620"/>
        <item x="713"/>
        <item x="153"/>
        <item x="691"/>
        <item x="175"/>
        <item x="521"/>
        <item x="684"/>
        <item x="95"/>
        <item x="494"/>
        <item x="645"/>
        <item x="212"/>
        <item x="194"/>
        <item x="522"/>
        <item x="635"/>
        <item x="227"/>
        <item x="722"/>
        <item x="649"/>
        <item x="616"/>
        <item x="271"/>
        <item x="629"/>
        <item x="464"/>
        <item x="120"/>
        <item x="544"/>
        <item x="397"/>
        <item x="245"/>
        <item x="335"/>
        <item x="266"/>
        <item x="728"/>
        <item x="552"/>
        <item x="683"/>
        <item x="457"/>
        <item x="138"/>
        <item x="169"/>
        <item x="136"/>
        <item x="149"/>
        <item x="257"/>
        <item x="618"/>
        <item x="638"/>
        <item x="61"/>
        <item x="495"/>
        <item x="31"/>
        <item x="163"/>
        <item x="548"/>
        <item x="547"/>
        <item x="609"/>
        <item x="93"/>
        <item x="628"/>
        <item x="588"/>
        <item x="440"/>
        <item x="688"/>
        <item x="622"/>
        <item x="668"/>
        <item x="644"/>
        <item x="527"/>
        <item x="51"/>
        <item x="205"/>
        <item x="79"/>
        <item x="213"/>
        <item x="352"/>
        <item x="441"/>
        <item x="476"/>
        <item x="106"/>
        <item x="488"/>
        <item x="327"/>
        <item x="223"/>
        <item x="52"/>
        <item x="461"/>
        <item x="586"/>
        <item x="199"/>
        <item x="595"/>
        <item x="568"/>
        <item x="596"/>
        <item x="481"/>
        <item x="172"/>
        <item x="3"/>
        <item x="9"/>
        <item x="74"/>
        <item x="424"/>
        <item x="375"/>
        <item x="371"/>
        <item x="189"/>
        <item x="613"/>
        <item x="159"/>
        <item x="133"/>
        <item x="444"/>
        <item x="94"/>
        <item x="539"/>
        <item x="173"/>
        <item x="105"/>
        <item x="380"/>
        <item x="672"/>
        <item x="228"/>
        <item x="201"/>
        <item x="407"/>
        <item x="244"/>
        <item x="727"/>
        <item x="253"/>
        <item x="651"/>
        <item x="167"/>
        <item x="374"/>
        <item x="601"/>
        <item x="115"/>
        <item x="531"/>
        <item x="300"/>
        <item x="323"/>
        <item x="326"/>
        <item x="248"/>
        <item x="22"/>
        <item x="428"/>
        <item x="294"/>
        <item x="195"/>
        <item x="265"/>
        <item x="543"/>
        <item x="190"/>
        <item x="121"/>
        <item x="486"/>
        <item x="370"/>
        <item x="658"/>
        <item x="511"/>
        <item x="144"/>
        <item x="532"/>
        <item x="238"/>
        <item x="72"/>
        <item x="211"/>
        <item x="726"/>
        <item x="500"/>
        <item x="570"/>
        <item x="637"/>
        <item x="708"/>
        <item x="502"/>
        <item x="45"/>
        <item x="86"/>
        <item x="623"/>
        <item x="246"/>
        <item x="572"/>
        <item x="310"/>
        <item x="339"/>
        <item x="426"/>
        <item x="171"/>
        <item x="203"/>
        <item x="4"/>
        <item x="182"/>
        <item x="198"/>
        <item x="673"/>
        <item x="35"/>
        <item x="566"/>
        <item x="676"/>
        <item x="351"/>
        <item x="162"/>
        <item x="385"/>
        <item x="498"/>
        <item x="15"/>
        <item x="206"/>
        <item x="5"/>
        <item x="30"/>
        <item x="13"/>
        <item x="557"/>
        <item x="611"/>
        <item x="677"/>
        <item x="208"/>
        <item x="516"/>
        <item x="427"/>
        <item x="446"/>
        <item x="308"/>
        <item x="419"/>
        <item x="311"/>
        <item x="65"/>
        <item x="657"/>
        <item x="704"/>
        <item x="55"/>
        <item x="664"/>
        <item x="320"/>
        <item x="497"/>
        <item x="525"/>
        <item x="578"/>
        <item x="542"/>
        <item x="465"/>
        <item x="513"/>
        <item x="268"/>
        <item x="540"/>
        <item x="485"/>
        <item x="686"/>
        <item x="75"/>
        <item x="80"/>
        <item x="218"/>
        <item x="549"/>
        <item x="650"/>
        <item x="730"/>
        <item x="155"/>
        <item x="619"/>
        <item x="222"/>
        <item x="38"/>
        <item x="400"/>
        <item x="414"/>
        <item x="381"/>
        <item x="567"/>
        <item x="241"/>
        <item x="143"/>
        <item x="505"/>
        <item x="689"/>
        <item x="331"/>
        <item x="636"/>
        <item x="435"/>
        <item x="456"/>
        <item x="321"/>
        <item x="10"/>
        <item x="439"/>
        <item x="59"/>
        <item x="288"/>
        <item x="348"/>
        <item x="318"/>
        <item x="492"/>
        <item x="111"/>
        <item x="648"/>
        <item x="214"/>
        <item x="714"/>
        <item x="137"/>
        <item x="254"/>
        <item x="512"/>
        <item x="336"/>
        <item x="477"/>
        <item x="608"/>
        <item x="197"/>
        <item x="8"/>
        <item x="558"/>
        <item x="661"/>
        <item x="307"/>
        <item x="69"/>
        <item x="617"/>
        <item x="382"/>
        <item x="157"/>
        <item x="519"/>
        <item x="366"/>
        <item x="252"/>
        <item x="580"/>
        <item x="600"/>
        <item x="177"/>
        <item x="598"/>
        <item x="624"/>
        <item x="529"/>
        <item x="468"/>
        <item x="32"/>
        <item x="88"/>
        <item x="341"/>
        <item x="725"/>
        <item x="170"/>
        <item x="392"/>
        <item x="40"/>
        <item x="124"/>
        <item x="471"/>
        <item x="90"/>
        <item x="338"/>
        <item x="574"/>
        <item x="127"/>
        <item x="429"/>
        <item x="472"/>
        <item x="202"/>
        <item x="597"/>
        <item x="36"/>
        <item x="469"/>
        <item x="73"/>
        <item x="615"/>
        <item x="50"/>
        <item x="181"/>
        <item x="589"/>
        <item x="139"/>
        <item x="160"/>
        <item x="367"/>
        <item x="33"/>
        <item x="166"/>
        <item x="438"/>
        <item x="499"/>
        <item x="451"/>
        <item x="639"/>
        <item x="627"/>
        <item x="216"/>
        <item x="304"/>
        <item x="393"/>
        <item x="66"/>
        <item x="179"/>
        <item x="582"/>
        <item x="148"/>
        <item x="403"/>
        <item x="517"/>
        <item x="483"/>
        <item x="110"/>
        <item x="333"/>
        <item x="379"/>
        <item x="641"/>
        <item x="150"/>
        <item x="593"/>
        <item x="145"/>
        <item x="687"/>
        <item x="524"/>
        <item x="328"/>
        <item x="215"/>
        <item x="299"/>
        <item x="165"/>
        <item x="334"/>
        <item x="101"/>
        <item x="281"/>
        <item x="445"/>
        <item x="703"/>
        <item x="681"/>
        <item x="343"/>
        <item x="699"/>
        <item x="283"/>
        <item x="53"/>
        <item x="433"/>
        <item x="569"/>
        <item x="508"/>
        <item x="58"/>
        <item x="642"/>
        <item x="276"/>
        <item x="354"/>
        <item x="555"/>
        <item x="164"/>
        <item x="231"/>
        <item x="314"/>
        <item x="116"/>
        <item x="87"/>
        <item x="412"/>
        <item x="11"/>
        <item x="54"/>
        <item x="295"/>
        <item x="432"/>
        <item x="573"/>
        <item x="362"/>
        <item x="592"/>
        <item x="656"/>
        <item x="176"/>
        <item x="305"/>
        <item x="284"/>
        <item x="361"/>
        <item x="383"/>
        <item x="107"/>
        <item x="84"/>
        <item x="369"/>
        <item x="415"/>
        <item x="453"/>
        <item x="85"/>
        <item x="402"/>
        <item x="715"/>
        <item x="554"/>
        <item x="560"/>
        <item x="425"/>
        <item x="103"/>
        <item x="491"/>
        <item x="83"/>
        <item x="711"/>
        <item x="702"/>
        <item x="2"/>
        <item x="317"/>
        <item x="484"/>
        <item x="251"/>
        <item x="584"/>
        <item x="550"/>
        <item x="82"/>
        <item x="437"/>
        <item x="289"/>
        <item x="455"/>
        <item x="325"/>
        <item x="350"/>
        <item x="587"/>
        <item x="91"/>
        <item x="520"/>
        <item x="273"/>
        <item x="293"/>
        <item x="575"/>
        <item x="196"/>
        <item x="98"/>
        <item x="151"/>
        <item x="306"/>
        <item x="487"/>
        <item x="373"/>
        <item x="100"/>
        <item x="272"/>
        <item x="342"/>
        <item x="263"/>
        <item x="720"/>
        <item x="510"/>
        <item x="458"/>
        <item x="298"/>
        <item x="68"/>
        <item x="186"/>
        <item x="42"/>
        <item x="565"/>
        <item x="408"/>
        <item x="154"/>
        <item x="553"/>
        <item x="358"/>
        <item x="503"/>
        <item x="561"/>
        <item x="19"/>
        <item x="316"/>
        <item t="default"/>
      </items>
    </pivotField>
  </pivotFields>
  <rowFields count="1">
    <field x="7"/>
  </rowFields>
  <rowItems count="6">
    <i>
      <x/>
    </i>
    <i>
      <x v="1"/>
    </i>
    <i>
      <x v="2"/>
    </i>
    <i>
      <x v="3"/>
    </i>
    <i>
      <x v="4"/>
    </i>
    <i t="grand">
      <x/>
    </i>
  </rowItems>
  <colFields count="1">
    <field x="9"/>
  </colFields>
  <colItems count="4">
    <i>
      <x/>
    </i>
    <i>
      <x v="1"/>
    </i>
    <i>
      <x v="2"/>
    </i>
    <i t="grand">
      <x/>
    </i>
  </colItems>
  <dataFields count="1">
    <dataField name="Average of Repeat Song Rate (%)" fld="11" subtotal="average" baseField="7" baseItem="0"/>
  </dataFields>
  <formats count="31">
    <format dxfId="83">
      <pivotArea outline="0" collapsedLevelsAreSubtotals="1"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9" type="button" dataOnly="0" labelOnly="1" outline="0" axis="axisCol" fieldPosition="0"/>
    </format>
    <format dxfId="78">
      <pivotArea type="topRight" dataOnly="0" labelOnly="1" outline="0" fieldPosition="0"/>
    </format>
    <format dxfId="77">
      <pivotArea field="7" type="button" dataOnly="0" labelOnly="1" outline="0" axis="axisRow" fieldPosition="0"/>
    </format>
    <format dxfId="76">
      <pivotArea dataOnly="0" labelOnly="1" fieldPosition="0">
        <references count="1">
          <reference field="7" count="0"/>
        </references>
      </pivotArea>
    </format>
    <format dxfId="75">
      <pivotArea dataOnly="0" labelOnly="1" grandRow="1" outline="0" fieldPosition="0"/>
    </format>
    <format dxfId="74">
      <pivotArea dataOnly="0" labelOnly="1" fieldPosition="0">
        <references count="1">
          <reference field="9" count="0"/>
        </references>
      </pivotArea>
    </format>
    <format dxfId="73">
      <pivotArea dataOnly="0" labelOnly="1" grandCol="1" outline="0" fieldPosition="0"/>
    </format>
    <format dxfId="72">
      <pivotArea type="all" dataOnly="0" outline="0" fieldPosition="0"/>
    </format>
    <format dxfId="71">
      <pivotArea outline="0" collapsedLevelsAreSubtotals="1" fieldPosition="0"/>
    </format>
    <format dxfId="70">
      <pivotArea type="origin" dataOnly="0" labelOnly="1" outline="0" fieldPosition="0"/>
    </format>
    <format dxfId="69">
      <pivotArea field="9" type="button" dataOnly="0" labelOnly="1" outline="0" axis="axisCol" fieldPosition="0"/>
    </format>
    <format dxfId="68">
      <pivotArea type="topRight" dataOnly="0" labelOnly="1" outline="0" fieldPosition="0"/>
    </format>
    <format dxfId="67">
      <pivotArea field="7" type="button" dataOnly="0" labelOnly="1" outline="0" axis="axisRow" fieldPosition="0"/>
    </format>
    <format dxfId="66">
      <pivotArea dataOnly="0" labelOnly="1" fieldPosition="0">
        <references count="1">
          <reference field="7" count="0"/>
        </references>
      </pivotArea>
    </format>
    <format dxfId="65">
      <pivotArea dataOnly="0" labelOnly="1" grandRow="1" outline="0" fieldPosition="0"/>
    </format>
    <format dxfId="64">
      <pivotArea dataOnly="0" labelOnly="1" fieldPosition="0">
        <references count="1">
          <reference field="9" count="0"/>
        </references>
      </pivotArea>
    </format>
    <format dxfId="63">
      <pivotArea dataOnly="0" labelOnly="1" grandCol="1" outline="0"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9" type="button" dataOnly="0" labelOnly="1" outline="0" axis="axisCol" fieldPosition="0"/>
    </format>
    <format dxfId="58">
      <pivotArea type="topRight" dataOnly="0" labelOnly="1" outline="0"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grandRow="1" outline="0" fieldPosition="0"/>
    </format>
    <format dxfId="54">
      <pivotArea dataOnly="0" labelOnly="1" fieldPosition="0">
        <references count="1">
          <reference field="9" count="0"/>
        </references>
      </pivotArea>
    </format>
    <format dxfId="53">
      <pivotArea dataOnly="0" labelOnly="1" grandCol="1" outline="0" fieldPosition="0"/>
    </format>
  </formats>
  <chartFormats count="9">
    <chartFormat chart="0" format="9" series="1">
      <pivotArea type="data" outline="0" fieldPosition="0">
        <references count="1">
          <reference field="9" count="1" selected="0">
            <x v="0"/>
          </reference>
        </references>
      </pivotArea>
    </chartFormat>
    <chartFormat chart="0" format="10" series="1">
      <pivotArea type="data" outline="0" fieldPosition="0">
        <references count="1">
          <reference field="9" count="1" selected="0">
            <x v="1"/>
          </reference>
        </references>
      </pivotArea>
    </chartFormat>
    <chartFormat chart="0" format="11" series="1">
      <pivotArea type="data" outline="0" fieldPosition="0">
        <references count="1">
          <reference field="9" count="1" selected="0">
            <x v="2"/>
          </reference>
        </references>
      </pivotArea>
    </chartFormat>
    <chartFormat chart="0" format="12" series="1">
      <pivotArea type="data" outline="0" fieldPosition="0">
        <references count="2">
          <reference field="4294967294" count="1" selected="0">
            <x v="0"/>
          </reference>
          <reference field="9" count="1" selected="0">
            <x v="1"/>
          </reference>
        </references>
      </pivotArea>
    </chartFormat>
    <chartFormat chart="0" format="13" series="1">
      <pivotArea type="data" outline="0" fieldPosition="0">
        <references count="2">
          <reference field="4294967294" count="1" selected="0">
            <x v="0"/>
          </reference>
          <reference field="9" count="1" selected="0">
            <x v="2"/>
          </reference>
        </references>
      </pivotArea>
    </chartFormat>
    <chartFormat chart="0" format="14" series="1">
      <pivotArea type="data" outline="0" fieldPosition="0">
        <references count="2">
          <reference field="4294967294" count="1" selected="0">
            <x v="0"/>
          </reference>
          <reference field="9" count="1" selected="0">
            <x v="0"/>
          </reference>
        </references>
      </pivotArea>
    </chartFormat>
    <chartFormat chart="8" format="18" series="1">
      <pivotArea type="data" outline="0" fieldPosition="0">
        <references count="2">
          <reference field="4294967294" count="1" selected="0">
            <x v="0"/>
          </reference>
          <reference field="9" count="1" selected="0">
            <x v="0"/>
          </reference>
        </references>
      </pivotArea>
    </chartFormat>
    <chartFormat chart="8" format="19" series="1">
      <pivotArea type="data" outline="0" fieldPosition="0">
        <references count="2">
          <reference field="4294967294" count="1" selected="0">
            <x v="0"/>
          </reference>
          <reference field="9" count="1" selected="0">
            <x v="1"/>
          </reference>
        </references>
      </pivotArea>
    </chartFormat>
    <chartFormat chart="8" format="20"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4D06E-EBAB-4E08-97E5-4385C9A31A8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No. of songs liked" colHeaderCaption="Top Genre">
  <location ref="A1:B7" firstHeaderRow="1" firstDataRow="1" firstDataCol="1"/>
  <pivotFields count="12">
    <pivotField showAll="0"/>
    <pivotField showAll="0">
      <items count="8">
        <item x="0"/>
        <item x="1"/>
        <item x="2"/>
        <item x="3"/>
        <item x="4"/>
        <item x="5"/>
        <item x="6"/>
        <item t="default"/>
      </items>
    </pivotField>
    <pivotField showAll="0"/>
    <pivotField showAll="0">
      <items count="7">
        <item x="4"/>
        <item x="2"/>
        <item x="1"/>
        <item x="5"/>
        <item x="0"/>
        <item x="3"/>
        <item t="default"/>
      </items>
    </pivotField>
    <pivotField showAll="0">
      <items count="7">
        <item x="3"/>
        <item x="0"/>
        <item x="2"/>
        <item x="5"/>
        <item x="1"/>
        <item x="4"/>
        <item t="default"/>
      </items>
    </pivotField>
    <pivotField showAll="0"/>
    <pivotField axis="axisRow" showAll="0">
      <items count="8">
        <item x="0"/>
        <item x="1"/>
        <item x="2"/>
        <item x="3"/>
        <item x="4"/>
        <item x="5"/>
        <item x="6"/>
        <item t="default"/>
      </items>
    </pivotField>
    <pivotField showAll="0">
      <items count="6">
        <item x="4"/>
        <item x="0"/>
        <item x="3"/>
        <item x="2"/>
        <item x="1"/>
        <item t="default"/>
      </items>
    </pivotField>
    <pivotField showAll="0">
      <items count="3">
        <item x="0"/>
        <item x="1"/>
        <item t="default"/>
      </items>
    </pivotField>
    <pivotField showAll="0">
      <items count="4">
        <item x="1"/>
        <item x="2"/>
        <item x="0"/>
        <item t="default"/>
      </items>
    </pivotField>
    <pivotField showAll="0"/>
    <pivotField dataField="1" showAll="0">
      <items count="732">
        <item x="695"/>
        <item x="344"/>
        <item x="184"/>
        <item x="729"/>
        <item x="47"/>
        <item x="442"/>
        <item x="489"/>
        <item x="450"/>
        <item x="291"/>
        <item x="232"/>
        <item x="359"/>
        <item x="183"/>
        <item x="496"/>
        <item x="37"/>
        <item x="706"/>
        <item x="156"/>
        <item x="591"/>
        <item x="43"/>
        <item x="384"/>
        <item x="118"/>
        <item x="479"/>
        <item x="420"/>
        <item x="493"/>
        <item x="303"/>
        <item x="545"/>
        <item x="692"/>
        <item x="518"/>
        <item x="459"/>
        <item x="399"/>
        <item x="724"/>
        <item x="700"/>
        <item x="377"/>
        <item x="563"/>
        <item x="577"/>
        <item x="256"/>
        <item x="147"/>
        <item x="1"/>
        <item x="258"/>
        <item x="332"/>
        <item x="315"/>
        <item x="122"/>
        <item x="259"/>
        <item x="221"/>
        <item x="108"/>
        <item x="174"/>
        <item x="34"/>
        <item x="533"/>
        <item x="718"/>
        <item x="667"/>
        <item x="721"/>
        <item x="669"/>
        <item x="447"/>
        <item x="128"/>
        <item x="112"/>
        <item x="225"/>
        <item x="48"/>
        <item x="234"/>
        <item x="275"/>
        <item x="60"/>
        <item x="16"/>
        <item x="632"/>
        <item x="364"/>
        <item x="585"/>
        <item x="237"/>
        <item x="49"/>
        <item x="92"/>
        <item x="671"/>
        <item x="662"/>
        <item x="81"/>
        <item x="653"/>
        <item x="279"/>
        <item x="24"/>
        <item x="250"/>
        <item x="416"/>
        <item x="76"/>
        <item x="546"/>
        <item x="436"/>
        <item x="178"/>
        <item x="278"/>
        <item x="280"/>
        <item x="99"/>
        <item x="410"/>
        <item x="57"/>
        <item x="391"/>
        <item x="536"/>
        <item x="56"/>
        <item x="14"/>
        <item x="556"/>
        <item x="490"/>
        <item x="25"/>
        <item x="209"/>
        <item x="418"/>
        <item x="260"/>
        <item x="462"/>
        <item x="605"/>
        <item x="535"/>
        <item x="515"/>
        <item x="113"/>
        <item x="610"/>
        <item x="541"/>
        <item x="606"/>
        <item x="633"/>
        <item x="322"/>
        <item x="193"/>
        <item x="559"/>
        <item x="188"/>
        <item x="526"/>
        <item x="690"/>
        <item x="378"/>
        <item x="390"/>
        <item x="297"/>
        <item x="474"/>
        <item x="372"/>
        <item x="478"/>
        <item x="602"/>
        <item x="448"/>
        <item x="89"/>
        <item x="236"/>
        <item x="443"/>
        <item x="696"/>
        <item x="506"/>
        <item x="603"/>
        <item x="640"/>
        <item x="267"/>
        <item x="579"/>
        <item x="528"/>
        <item x="363"/>
        <item x="509"/>
        <item x="7"/>
        <item x="396"/>
        <item x="290"/>
        <item x="135"/>
        <item x="349"/>
        <item x="353"/>
        <item x="64"/>
        <item x="109"/>
        <item x="134"/>
        <item x="330"/>
        <item x="701"/>
        <item x="21"/>
        <item x="356"/>
        <item x="41"/>
        <item x="470"/>
        <item x="12"/>
        <item x="340"/>
        <item x="674"/>
        <item x="386"/>
        <item x="301"/>
        <item x="538"/>
        <item x="376"/>
        <item x="421"/>
        <item x="27"/>
        <item x="207"/>
        <item x="678"/>
        <item x="675"/>
        <item x="452"/>
        <item x="643"/>
        <item x="679"/>
        <item x="264"/>
        <item x="217"/>
        <item x="200"/>
        <item x="430"/>
        <item x="634"/>
        <item x="365"/>
        <item x="78"/>
        <item x="220"/>
        <item x="411"/>
        <item x="296"/>
        <item x="480"/>
        <item x="405"/>
        <item x="39"/>
        <item x="647"/>
        <item x="243"/>
        <item x="302"/>
        <item x="6"/>
        <item x="571"/>
        <item x="97"/>
        <item x="666"/>
        <item x="247"/>
        <item x="255"/>
        <item x="551"/>
        <item x="117"/>
        <item x="685"/>
        <item x="119"/>
        <item x="360"/>
        <item x="249"/>
        <item x="313"/>
        <item x="698"/>
        <item x="417"/>
        <item x="504"/>
        <item x="581"/>
        <item x="466"/>
        <item x="63"/>
        <item x="389"/>
        <item x="312"/>
        <item x="368"/>
        <item x="355"/>
        <item x="77"/>
        <item x="583"/>
        <item x="114"/>
        <item x="467"/>
        <item x="413"/>
        <item x="26"/>
        <item x="262"/>
        <item x="663"/>
        <item x="719"/>
        <item x="564"/>
        <item x="185"/>
        <item x="142"/>
        <item x="240"/>
        <item x="590"/>
        <item x="270"/>
        <item x="347"/>
        <item x="274"/>
        <item x="473"/>
        <item x="324"/>
        <item x="269"/>
        <item x="449"/>
        <item x="168"/>
        <item x="23"/>
        <item x="431"/>
        <item x="599"/>
        <item x="705"/>
        <item x="562"/>
        <item x="129"/>
        <item x="62"/>
        <item x="659"/>
        <item x="460"/>
        <item x="646"/>
        <item x="434"/>
        <item x="235"/>
        <item x="292"/>
        <item x="614"/>
        <item x="126"/>
        <item x="387"/>
        <item x="576"/>
        <item x="319"/>
        <item x="523"/>
        <item x="239"/>
        <item x="607"/>
        <item x="612"/>
        <item x="654"/>
        <item x="482"/>
        <item x="475"/>
        <item x="219"/>
        <item x="123"/>
        <item x="70"/>
        <item x="261"/>
        <item x="67"/>
        <item x="233"/>
        <item x="409"/>
        <item x="140"/>
        <item x="682"/>
        <item x="329"/>
        <item x="630"/>
        <item x="210"/>
        <item x="282"/>
        <item x="406"/>
        <item x="716"/>
        <item x="717"/>
        <item x="125"/>
        <item x="604"/>
        <item x="710"/>
        <item x="180"/>
        <item x="28"/>
        <item x="191"/>
        <item x="660"/>
        <item x="530"/>
        <item x="394"/>
        <item x="187"/>
        <item x="46"/>
        <item x="712"/>
        <item x="309"/>
        <item x="17"/>
        <item x="104"/>
        <item x="594"/>
        <item x="463"/>
        <item x="423"/>
        <item x="404"/>
        <item x="96"/>
        <item x="665"/>
        <item x="71"/>
        <item x="146"/>
        <item x="534"/>
        <item x="723"/>
        <item x="537"/>
        <item x="192"/>
        <item x="626"/>
        <item x="226"/>
        <item x="287"/>
        <item x="20"/>
        <item x="422"/>
        <item x="242"/>
        <item x="395"/>
        <item x="655"/>
        <item x="131"/>
        <item x="102"/>
        <item x="230"/>
        <item x="18"/>
        <item x="652"/>
        <item x="709"/>
        <item x="697"/>
        <item x="286"/>
        <item x="398"/>
        <item x="346"/>
        <item x="285"/>
        <item x="631"/>
        <item x="625"/>
        <item x="707"/>
        <item x="401"/>
        <item x="501"/>
        <item x="130"/>
        <item x="152"/>
        <item x="277"/>
        <item x="507"/>
        <item x="132"/>
        <item x="204"/>
        <item x="337"/>
        <item x="141"/>
        <item x="29"/>
        <item x="224"/>
        <item x="693"/>
        <item x="670"/>
        <item x="694"/>
        <item x="621"/>
        <item x="161"/>
        <item x="158"/>
        <item x="454"/>
        <item x="229"/>
        <item x="357"/>
        <item x="345"/>
        <item x="388"/>
        <item x="514"/>
        <item x="44"/>
        <item x="680"/>
        <item x="0"/>
        <item x="620"/>
        <item x="713"/>
        <item x="153"/>
        <item x="691"/>
        <item x="175"/>
        <item x="521"/>
        <item x="684"/>
        <item x="95"/>
        <item x="494"/>
        <item x="645"/>
        <item x="212"/>
        <item x="194"/>
        <item x="522"/>
        <item x="635"/>
        <item x="227"/>
        <item x="722"/>
        <item x="649"/>
        <item x="616"/>
        <item x="271"/>
        <item x="629"/>
        <item x="464"/>
        <item x="120"/>
        <item x="544"/>
        <item x="397"/>
        <item x="245"/>
        <item x="335"/>
        <item x="266"/>
        <item x="728"/>
        <item x="552"/>
        <item x="683"/>
        <item x="457"/>
        <item x="138"/>
        <item x="169"/>
        <item x="136"/>
        <item x="149"/>
        <item x="257"/>
        <item x="618"/>
        <item x="638"/>
        <item x="61"/>
        <item x="495"/>
        <item x="31"/>
        <item x="163"/>
        <item x="548"/>
        <item x="547"/>
        <item x="609"/>
        <item x="93"/>
        <item x="628"/>
        <item x="588"/>
        <item x="440"/>
        <item x="688"/>
        <item x="622"/>
        <item x="668"/>
        <item x="644"/>
        <item x="527"/>
        <item x="51"/>
        <item x="205"/>
        <item x="79"/>
        <item x="213"/>
        <item x="352"/>
        <item x="441"/>
        <item x="476"/>
        <item x="106"/>
        <item x="488"/>
        <item x="327"/>
        <item x="223"/>
        <item x="52"/>
        <item x="461"/>
        <item x="586"/>
        <item x="199"/>
        <item x="595"/>
        <item x="568"/>
        <item x="596"/>
        <item x="481"/>
        <item x="172"/>
        <item x="3"/>
        <item x="9"/>
        <item x="74"/>
        <item x="424"/>
        <item x="375"/>
        <item x="371"/>
        <item x="189"/>
        <item x="613"/>
        <item x="159"/>
        <item x="133"/>
        <item x="444"/>
        <item x="94"/>
        <item x="539"/>
        <item x="173"/>
        <item x="105"/>
        <item x="380"/>
        <item x="672"/>
        <item x="228"/>
        <item x="201"/>
        <item x="407"/>
        <item x="244"/>
        <item x="727"/>
        <item x="253"/>
        <item x="651"/>
        <item x="167"/>
        <item x="374"/>
        <item x="601"/>
        <item x="115"/>
        <item x="531"/>
        <item x="300"/>
        <item x="323"/>
        <item x="326"/>
        <item x="248"/>
        <item x="22"/>
        <item x="428"/>
        <item x="294"/>
        <item x="195"/>
        <item x="265"/>
        <item x="543"/>
        <item x="190"/>
        <item x="121"/>
        <item x="486"/>
        <item x="370"/>
        <item x="658"/>
        <item x="511"/>
        <item x="144"/>
        <item x="532"/>
        <item x="238"/>
        <item x="72"/>
        <item x="211"/>
        <item x="726"/>
        <item x="500"/>
        <item x="570"/>
        <item x="637"/>
        <item x="708"/>
        <item x="502"/>
        <item x="45"/>
        <item x="86"/>
        <item x="623"/>
        <item x="246"/>
        <item x="572"/>
        <item x="310"/>
        <item x="339"/>
        <item x="426"/>
        <item x="171"/>
        <item x="203"/>
        <item x="4"/>
        <item x="182"/>
        <item x="198"/>
        <item x="673"/>
        <item x="35"/>
        <item x="566"/>
        <item x="676"/>
        <item x="351"/>
        <item x="162"/>
        <item x="385"/>
        <item x="498"/>
        <item x="15"/>
        <item x="206"/>
        <item x="5"/>
        <item x="30"/>
        <item x="13"/>
        <item x="557"/>
        <item x="611"/>
        <item x="677"/>
        <item x="208"/>
        <item x="516"/>
        <item x="427"/>
        <item x="446"/>
        <item x="308"/>
        <item x="419"/>
        <item x="311"/>
        <item x="65"/>
        <item x="657"/>
        <item x="704"/>
        <item x="55"/>
        <item x="664"/>
        <item x="320"/>
        <item x="497"/>
        <item x="525"/>
        <item x="578"/>
        <item x="542"/>
        <item x="465"/>
        <item x="513"/>
        <item x="268"/>
        <item x="540"/>
        <item x="485"/>
        <item x="686"/>
        <item x="75"/>
        <item x="80"/>
        <item x="218"/>
        <item x="549"/>
        <item x="650"/>
        <item x="730"/>
        <item x="155"/>
        <item x="619"/>
        <item x="222"/>
        <item x="38"/>
        <item x="400"/>
        <item x="414"/>
        <item x="381"/>
        <item x="567"/>
        <item x="241"/>
        <item x="143"/>
        <item x="505"/>
        <item x="689"/>
        <item x="331"/>
        <item x="636"/>
        <item x="435"/>
        <item x="456"/>
        <item x="321"/>
        <item x="10"/>
        <item x="439"/>
        <item x="59"/>
        <item x="288"/>
        <item x="348"/>
        <item x="318"/>
        <item x="492"/>
        <item x="111"/>
        <item x="648"/>
        <item x="214"/>
        <item x="714"/>
        <item x="137"/>
        <item x="254"/>
        <item x="512"/>
        <item x="336"/>
        <item x="477"/>
        <item x="608"/>
        <item x="197"/>
        <item x="8"/>
        <item x="558"/>
        <item x="661"/>
        <item x="307"/>
        <item x="69"/>
        <item x="617"/>
        <item x="382"/>
        <item x="157"/>
        <item x="519"/>
        <item x="366"/>
        <item x="252"/>
        <item x="580"/>
        <item x="600"/>
        <item x="177"/>
        <item x="598"/>
        <item x="624"/>
        <item x="529"/>
        <item x="468"/>
        <item x="32"/>
        <item x="88"/>
        <item x="341"/>
        <item x="725"/>
        <item x="170"/>
        <item x="392"/>
        <item x="40"/>
        <item x="124"/>
        <item x="471"/>
        <item x="90"/>
        <item x="338"/>
        <item x="574"/>
        <item x="127"/>
        <item x="429"/>
        <item x="472"/>
        <item x="202"/>
        <item x="597"/>
        <item x="36"/>
        <item x="469"/>
        <item x="73"/>
        <item x="615"/>
        <item x="50"/>
        <item x="181"/>
        <item x="589"/>
        <item x="139"/>
        <item x="160"/>
        <item x="367"/>
        <item x="33"/>
        <item x="166"/>
        <item x="438"/>
        <item x="499"/>
        <item x="451"/>
        <item x="639"/>
        <item x="627"/>
        <item x="216"/>
        <item x="304"/>
        <item x="393"/>
        <item x="66"/>
        <item x="179"/>
        <item x="582"/>
        <item x="148"/>
        <item x="403"/>
        <item x="517"/>
        <item x="483"/>
        <item x="110"/>
        <item x="333"/>
        <item x="379"/>
        <item x="641"/>
        <item x="150"/>
        <item x="593"/>
        <item x="145"/>
        <item x="687"/>
        <item x="524"/>
        <item x="328"/>
        <item x="215"/>
        <item x="299"/>
        <item x="165"/>
        <item x="334"/>
        <item x="101"/>
        <item x="281"/>
        <item x="445"/>
        <item x="703"/>
        <item x="681"/>
        <item x="343"/>
        <item x="699"/>
        <item x="283"/>
        <item x="53"/>
        <item x="433"/>
        <item x="569"/>
        <item x="508"/>
        <item x="58"/>
        <item x="642"/>
        <item x="276"/>
        <item x="354"/>
        <item x="555"/>
        <item x="164"/>
        <item x="231"/>
        <item x="314"/>
        <item x="116"/>
        <item x="87"/>
        <item x="412"/>
        <item x="11"/>
        <item x="54"/>
        <item x="295"/>
        <item x="432"/>
        <item x="573"/>
        <item x="362"/>
        <item x="592"/>
        <item x="656"/>
        <item x="176"/>
        <item x="305"/>
        <item x="284"/>
        <item x="361"/>
        <item x="383"/>
        <item x="107"/>
        <item x="84"/>
        <item x="369"/>
        <item x="415"/>
        <item x="453"/>
        <item x="85"/>
        <item x="402"/>
        <item x="715"/>
        <item x="554"/>
        <item x="560"/>
        <item x="425"/>
        <item x="103"/>
        <item x="491"/>
        <item x="83"/>
        <item x="711"/>
        <item x="702"/>
        <item x="2"/>
        <item x="317"/>
        <item x="484"/>
        <item x="251"/>
        <item x="584"/>
        <item x="550"/>
        <item x="82"/>
        <item x="437"/>
        <item x="289"/>
        <item x="455"/>
        <item x="325"/>
        <item x="350"/>
        <item x="587"/>
        <item x="91"/>
        <item x="520"/>
        <item x="273"/>
        <item x="293"/>
        <item x="575"/>
        <item x="196"/>
        <item x="98"/>
        <item x="151"/>
        <item x="306"/>
        <item x="487"/>
        <item x="373"/>
        <item x="100"/>
        <item x="272"/>
        <item x="342"/>
        <item x="263"/>
        <item x="720"/>
        <item x="510"/>
        <item x="458"/>
        <item x="298"/>
        <item x="68"/>
        <item x="186"/>
        <item x="42"/>
        <item x="565"/>
        <item x="408"/>
        <item x="154"/>
        <item x="553"/>
        <item x="358"/>
        <item x="503"/>
        <item x="561"/>
        <item x="19"/>
        <item x="316"/>
        <item t="default"/>
      </items>
    </pivotField>
  </pivotFields>
  <rowFields count="1">
    <field x="6"/>
  </rowFields>
  <rowItems count="6">
    <i>
      <x v="1"/>
    </i>
    <i>
      <x v="2"/>
    </i>
    <i>
      <x v="3"/>
    </i>
    <i>
      <x v="4"/>
    </i>
    <i>
      <x v="5"/>
    </i>
    <i t="grand">
      <x/>
    </i>
  </rowItems>
  <colItems count="1">
    <i/>
  </colItems>
  <dataFields count="1">
    <dataField name="Average of Repeat Song Rate (%)" fld="11" subtotal="average" baseField="4" baseItem="0"/>
  </dataFields>
  <formats count="13">
    <format dxfId="52">
      <pivotArea outline="0" collapsedLevelsAreSubtotals="1" fieldPosition="0"/>
    </format>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fieldPosition="0">
        <references count="1">
          <reference field="6" count="5">
            <x v="1"/>
            <x v="2"/>
            <x v="3"/>
            <x v="4"/>
            <x v="5"/>
          </reference>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fieldPosition="0">
        <references count="1">
          <reference field="6" count="5">
            <x v="1"/>
            <x v="2"/>
            <x v="3"/>
            <x v="4"/>
            <x v="5"/>
          </reference>
        </references>
      </pivotArea>
    </format>
    <format dxfId="41">
      <pivotArea dataOnly="0" labelOnly="1" grandRow="1" outline="0" fieldPosition="0"/>
    </format>
    <format dxfId="40">
      <pivotArea dataOnly="0" labelOnly="1" outline="0" axis="axisValues" fieldPosition="0"/>
    </format>
  </formats>
  <chartFormats count="11">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1"/>
          </reference>
        </references>
      </pivotArea>
    </chartFormat>
    <chartFormat chart="8" format="2">
      <pivotArea type="data" outline="0" fieldPosition="0">
        <references count="2">
          <reference field="4294967294" count="1" selected="0">
            <x v="0"/>
          </reference>
          <reference field="6" count="1" selected="0">
            <x v="2"/>
          </reference>
        </references>
      </pivotArea>
    </chartFormat>
    <chartFormat chart="8" format="3">
      <pivotArea type="data" outline="0" fieldPosition="0">
        <references count="2">
          <reference field="4294967294" count="1" selected="0">
            <x v="0"/>
          </reference>
          <reference field="6" count="1" selected="0">
            <x v="5"/>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 chart="11" format="10">
      <pivotArea type="data" outline="0" fieldPosition="0">
        <references count="2">
          <reference field="4294967294" count="1" selected="0">
            <x v="0"/>
          </reference>
          <reference field="6" count="1" selected="0">
            <x v="2"/>
          </reference>
        </references>
      </pivotArea>
    </chartFormat>
    <chartFormat chart="11" format="11">
      <pivotArea type="data" outline="0" fieldPosition="0">
        <references count="2">
          <reference field="4294967294" count="1" selected="0">
            <x v="0"/>
          </reference>
          <reference field="6" count="1" selected="0">
            <x v="5"/>
          </reference>
        </references>
      </pivotArea>
    </chartFormat>
    <chartFormat chart="11" format="12">
      <pivotArea type="data" outline="0" fieldPosition="0">
        <references count="2">
          <reference field="4294967294" count="1" selected="0">
            <x v="0"/>
          </reference>
          <reference field="6" count="1" selected="0">
            <x v="4"/>
          </reference>
        </references>
      </pivotArea>
    </chartFormat>
    <chartFormat chart="11"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985FEE-D220-4E7A-9720-43E3C6B7F5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dataField="1" showAll="0"/>
    <pivotField showAll="0"/>
    <pivotField showAll="0">
      <items count="6">
        <item x="4"/>
        <item x="0"/>
        <item x="3"/>
        <item x="2"/>
        <item x="1"/>
        <item t="default"/>
      </items>
    </pivotField>
    <pivotField showAll="0"/>
    <pivotField showAll="0"/>
    <pivotField showAll="0"/>
    <pivotField showAll="0">
      <items count="732">
        <item x="695"/>
        <item x="344"/>
        <item x="184"/>
        <item x="729"/>
        <item x="47"/>
        <item x="442"/>
        <item x="489"/>
        <item x="450"/>
        <item x="291"/>
        <item x="232"/>
        <item x="359"/>
        <item x="183"/>
        <item x="496"/>
        <item x="37"/>
        <item x="706"/>
        <item x="156"/>
        <item x="591"/>
        <item x="43"/>
        <item x="384"/>
        <item x="118"/>
        <item x="479"/>
        <item x="420"/>
        <item x="493"/>
        <item x="303"/>
        <item x="545"/>
        <item x="692"/>
        <item x="518"/>
        <item x="459"/>
        <item x="399"/>
        <item x="724"/>
        <item x="700"/>
        <item x="377"/>
        <item x="563"/>
        <item x="577"/>
        <item x="256"/>
        <item x="147"/>
        <item x="1"/>
        <item x="258"/>
        <item x="332"/>
        <item x="315"/>
        <item x="122"/>
        <item x="259"/>
        <item x="221"/>
        <item x="108"/>
        <item x="174"/>
        <item x="34"/>
        <item x="533"/>
        <item x="718"/>
        <item x="667"/>
        <item x="721"/>
        <item x="669"/>
        <item x="447"/>
        <item x="128"/>
        <item x="112"/>
        <item x="225"/>
        <item x="48"/>
        <item x="234"/>
        <item x="275"/>
        <item x="60"/>
        <item x="16"/>
        <item x="632"/>
        <item x="364"/>
        <item x="585"/>
        <item x="237"/>
        <item x="49"/>
        <item x="92"/>
        <item x="671"/>
        <item x="662"/>
        <item x="81"/>
        <item x="653"/>
        <item x="279"/>
        <item x="24"/>
        <item x="250"/>
        <item x="416"/>
        <item x="76"/>
        <item x="546"/>
        <item x="436"/>
        <item x="178"/>
        <item x="278"/>
        <item x="280"/>
        <item x="99"/>
        <item x="410"/>
        <item x="57"/>
        <item x="391"/>
        <item x="536"/>
        <item x="56"/>
        <item x="14"/>
        <item x="556"/>
        <item x="490"/>
        <item x="25"/>
        <item x="209"/>
        <item x="418"/>
        <item x="260"/>
        <item x="462"/>
        <item x="605"/>
        <item x="535"/>
        <item x="515"/>
        <item x="113"/>
        <item x="610"/>
        <item x="541"/>
        <item x="606"/>
        <item x="633"/>
        <item x="322"/>
        <item x="193"/>
        <item x="559"/>
        <item x="188"/>
        <item x="526"/>
        <item x="690"/>
        <item x="378"/>
        <item x="390"/>
        <item x="297"/>
        <item x="474"/>
        <item x="372"/>
        <item x="478"/>
        <item x="602"/>
        <item x="448"/>
        <item x="89"/>
        <item x="236"/>
        <item x="443"/>
        <item x="696"/>
        <item x="506"/>
        <item x="603"/>
        <item x="640"/>
        <item x="267"/>
        <item x="579"/>
        <item x="528"/>
        <item x="363"/>
        <item x="509"/>
        <item x="7"/>
        <item x="396"/>
        <item x="290"/>
        <item x="135"/>
        <item x="349"/>
        <item x="353"/>
        <item x="64"/>
        <item x="109"/>
        <item x="134"/>
        <item x="330"/>
        <item x="701"/>
        <item x="21"/>
        <item x="356"/>
        <item x="41"/>
        <item x="470"/>
        <item x="12"/>
        <item x="340"/>
        <item x="674"/>
        <item x="386"/>
        <item x="301"/>
        <item x="538"/>
        <item x="376"/>
        <item x="421"/>
        <item x="27"/>
        <item x="207"/>
        <item x="678"/>
        <item x="675"/>
        <item x="452"/>
        <item x="643"/>
        <item x="679"/>
        <item x="264"/>
        <item x="217"/>
        <item x="200"/>
        <item x="430"/>
        <item x="634"/>
        <item x="365"/>
        <item x="78"/>
        <item x="220"/>
        <item x="411"/>
        <item x="296"/>
        <item x="480"/>
        <item x="405"/>
        <item x="39"/>
        <item x="647"/>
        <item x="243"/>
        <item x="302"/>
        <item x="6"/>
        <item x="571"/>
        <item x="97"/>
        <item x="666"/>
        <item x="247"/>
        <item x="255"/>
        <item x="551"/>
        <item x="117"/>
        <item x="685"/>
        <item x="119"/>
        <item x="360"/>
        <item x="249"/>
        <item x="313"/>
        <item x="698"/>
        <item x="417"/>
        <item x="504"/>
        <item x="581"/>
        <item x="466"/>
        <item x="63"/>
        <item x="389"/>
        <item x="312"/>
        <item x="368"/>
        <item x="355"/>
        <item x="77"/>
        <item x="583"/>
        <item x="114"/>
        <item x="467"/>
        <item x="413"/>
        <item x="26"/>
        <item x="262"/>
        <item x="663"/>
        <item x="719"/>
        <item x="564"/>
        <item x="185"/>
        <item x="142"/>
        <item x="240"/>
        <item x="590"/>
        <item x="270"/>
        <item x="347"/>
        <item x="274"/>
        <item x="473"/>
        <item x="324"/>
        <item x="269"/>
        <item x="449"/>
        <item x="168"/>
        <item x="23"/>
        <item x="431"/>
        <item x="599"/>
        <item x="705"/>
        <item x="562"/>
        <item x="129"/>
        <item x="62"/>
        <item x="659"/>
        <item x="460"/>
        <item x="646"/>
        <item x="434"/>
        <item x="235"/>
        <item x="292"/>
        <item x="614"/>
        <item x="126"/>
        <item x="387"/>
        <item x="576"/>
        <item x="319"/>
        <item x="523"/>
        <item x="239"/>
        <item x="607"/>
        <item x="612"/>
        <item x="654"/>
        <item x="482"/>
        <item x="475"/>
        <item x="219"/>
        <item x="123"/>
        <item x="70"/>
        <item x="261"/>
        <item x="67"/>
        <item x="233"/>
        <item x="409"/>
        <item x="140"/>
        <item x="682"/>
        <item x="329"/>
        <item x="630"/>
        <item x="210"/>
        <item x="282"/>
        <item x="406"/>
        <item x="716"/>
        <item x="717"/>
        <item x="125"/>
        <item x="604"/>
        <item x="710"/>
        <item x="180"/>
        <item x="28"/>
        <item x="191"/>
        <item x="660"/>
        <item x="530"/>
        <item x="394"/>
        <item x="187"/>
        <item x="46"/>
        <item x="712"/>
        <item x="309"/>
        <item x="17"/>
        <item x="104"/>
        <item x="594"/>
        <item x="463"/>
        <item x="423"/>
        <item x="404"/>
        <item x="96"/>
        <item x="665"/>
        <item x="71"/>
        <item x="146"/>
        <item x="534"/>
        <item x="723"/>
        <item x="537"/>
        <item x="192"/>
        <item x="626"/>
        <item x="226"/>
        <item x="287"/>
        <item x="20"/>
        <item x="422"/>
        <item x="242"/>
        <item x="395"/>
        <item x="655"/>
        <item x="131"/>
        <item x="102"/>
        <item x="230"/>
        <item x="18"/>
        <item x="652"/>
        <item x="709"/>
        <item x="697"/>
        <item x="286"/>
        <item x="398"/>
        <item x="346"/>
        <item x="285"/>
        <item x="631"/>
        <item x="625"/>
        <item x="707"/>
        <item x="401"/>
        <item x="501"/>
        <item x="130"/>
        <item x="152"/>
        <item x="277"/>
        <item x="507"/>
        <item x="132"/>
        <item x="204"/>
        <item x="337"/>
        <item x="141"/>
        <item x="29"/>
        <item x="224"/>
        <item x="693"/>
        <item x="670"/>
        <item x="694"/>
        <item x="621"/>
        <item x="161"/>
        <item x="158"/>
        <item x="454"/>
        <item x="229"/>
        <item x="357"/>
        <item x="345"/>
        <item x="388"/>
        <item x="514"/>
        <item x="44"/>
        <item x="680"/>
        <item x="0"/>
        <item x="620"/>
        <item x="713"/>
        <item x="153"/>
        <item x="691"/>
        <item x="175"/>
        <item x="521"/>
        <item x="684"/>
        <item x="95"/>
        <item x="494"/>
        <item x="645"/>
        <item x="212"/>
        <item x="194"/>
        <item x="522"/>
        <item x="635"/>
        <item x="227"/>
        <item x="722"/>
        <item x="649"/>
        <item x="616"/>
        <item x="271"/>
        <item x="629"/>
        <item x="464"/>
        <item x="120"/>
        <item x="544"/>
        <item x="397"/>
        <item x="245"/>
        <item x="335"/>
        <item x="266"/>
        <item x="728"/>
        <item x="552"/>
        <item x="683"/>
        <item x="457"/>
        <item x="138"/>
        <item x="169"/>
        <item x="136"/>
        <item x="149"/>
        <item x="257"/>
        <item x="618"/>
        <item x="638"/>
        <item x="61"/>
        <item x="495"/>
        <item x="31"/>
        <item x="163"/>
        <item x="548"/>
        <item x="547"/>
        <item x="609"/>
        <item x="93"/>
        <item x="628"/>
        <item x="588"/>
        <item x="440"/>
        <item x="688"/>
        <item x="622"/>
        <item x="668"/>
        <item x="644"/>
        <item x="527"/>
        <item x="51"/>
        <item x="205"/>
        <item x="79"/>
        <item x="213"/>
        <item x="352"/>
        <item x="441"/>
        <item x="476"/>
        <item x="106"/>
        <item x="488"/>
        <item x="327"/>
        <item x="223"/>
        <item x="52"/>
        <item x="461"/>
        <item x="586"/>
        <item x="199"/>
        <item x="595"/>
        <item x="568"/>
        <item x="596"/>
        <item x="481"/>
        <item x="172"/>
        <item x="3"/>
        <item x="9"/>
        <item x="74"/>
        <item x="424"/>
        <item x="375"/>
        <item x="371"/>
        <item x="189"/>
        <item x="613"/>
        <item x="159"/>
        <item x="133"/>
        <item x="444"/>
        <item x="94"/>
        <item x="539"/>
        <item x="173"/>
        <item x="105"/>
        <item x="380"/>
        <item x="672"/>
        <item x="228"/>
        <item x="201"/>
        <item x="407"/>
        <item x="244"/>
        <item x="727"/>
        <item x="253"/>
        <item x="651"/>
        <item x="167"/>
        <item x="374"/>
        <item x="601"/>
        <item x="115"/>
        <item x="531"/>
        <item x="300"/>
        <item x="323"/>
        <item x="326"/>
        <item x="248"/>
        <item x="22"/>
        <item x="428"/>
        <item x="294"/>
        <item x="195"/>
        <item x="265"/>
        <item x="543"/>
        <item x="190"/>
        <item x="121"/>
        <item x="486"/>
        <item x="370"/>
        <item x="658"/>
        <item x="511"/>
        <item x="144"/>
        <item x="532"/>
        <item x="238"/>
        <item x="72"/>
        <item x="211"/>
        <item x="726"/>
        <item x="500"/>
        <item x="570"/>
        <item x="637"/>
        <item x="708"/>
        <item x="502"/>
        <item x="45"/>
        <item x="86"/>
        <item x="623"/>
        <item x="246"/>
        <item x="572"/>
        <item x="310"/>
        <item x="339"/>
        <item x="426"/>
        <item x="171"/>
        <item x="203"/>
        <item x="4"/>
        <item x="182"/>
        <item x="198"/>
        <item x="673"/>
        <item x="35"/>
        <item x="566"/>
        <item x="676"/>
        <item x="351"/>
        <item x="162"/>
        <item x="385"/>
        <item x="498"/>
        <item x="15"/>
        <item x="206"/>
        <item x="5"/>
        <item x="30"/>
        <item x="13"/>
        <item x="557"/>
        <item x="611"/>
        <item x="677"/>
        <item x="208"/>
        <item x="516"/>
        <item x="427"/>
        <item x="446"/>
        <item x="308"/>
        <item x="419"/>
        <item x="311"/>
        <item x="65"/>
        <item x="657"/>
        <item x="704"/>
        <item x="55"/>
        <item x="664"/>
        <item x="320"/>
        <item x="497"/>
        <item x="525"/>
        <item x="578"/>
        <item x="542"/>
        <item x="465"/>
        <item x="513"/>
        <item x="268"/>
        <item x="540"/>
        <item x="485"/>
        <item x="686"/>
        <item x="75"/>
        <item x="80"/>
        <item x="218"/>
        <item x="549"/>
        <item x="650"/>
        <item x="730"/>
        <item x="155"/>
        <item x="619"/>
        <item x="222"/>
        <item x="38"/>
        <item x="400"/>
        <item x="414"/>
        <item x="381"/>
        <item x="567"/>
        <item x="241"/>
        <item x="143"/>
        <item x="505"/>
        <item x="689"/>
        <item x="331"/>
        <item x="636"/>
        <item x="435"/>
        <item x="456"/>
        <item x="321"/>
        <item x="10"/>
        <item x="439"/>
        <item x="59"/>
        <item x="288"/>
        <item x="348"/>
        <item x="318"/>
        <item x="492"/>
        <item x="111"/>
        <item x="648"/>
        <item x="214"/>
        <item x="714"/>
        <item x="137"/>
        <item x="254"/>
        <item x="512"/>
        <item x="336"/>
        <item x="477"/>
        <item x="608"/>
        <item x="197"/>
        <item x="8"/>
        <item x="558"/>
        <item x="661"/>
        <item x="307"/>
        <item x="69"/>
        <item x="617"/>
        <item x="382"/>
        <item x="157"/>
        <item x="519"/>
        <item x="366"/>
        <item x="252"/>
        <item x="580"/>
        <item x="600"/>
        <item x="177"/>
        <item x="598"/>
        <item x="624"/>
        <item x="529"/>
        <item x="468"/>
        <item x="32"/>
        <item x="88"/>
        <item x="341"/>
        <item x="725"/>
        <item x="170"/>
        <item x="392"/>
        <item x="40"/>
        <item x="124"/>
        <item x="471"/>
        <item x="90"/>
        <item x="338"/>
        <item x="574"/>
        <item x="127"/>
        <item x="429"/>
        <item x="472"/>
        <item x="202"/>
        <item x="597"/>
        <item x="36"/>
        <item x="469"/>
        <item x="73"/>
        <item x="615"/>
        <item x="50"/>
        <item x="181"/>
        <item x="589"/>
        <item x="139"/>
        <item x="160"/>
        <item x="367"/>
        <item x="33"/>
        <item x="166"/>
        <item x="438"/>
        <item x="499"/>
        <item x="451"/>
        <item x="639"/>
        <item x="627"/>
        <item x="216"/>
        <item x="304"/>
        <item x="393"/>
        <item x="66"/>
        <item x="179"/>
        <item x="582"/>
        <item x="148"/>
        <item x="403"/>
        <item x="517"/>
        <item x="483"/>
        <item x="110"/>
        <item x="333"/>
        <item x="379"/>
        <item x="641"/>
        <item x="150"/>
        <item x="593"/>
        <item x="145"/>
        <item x="687"/>
        <item x="524"/>
        <item x="328"/>
        <item x="215"/>
        <item x="299"/>
        <item x="165"/>
        <item x="334"/>
        <item x="101"/>
        <item x="281"/>
        <item x="445"/>
        <item x="703"/>
        <item x="681"/>
        <item x="343"/>
        <item x="699"/>
        <item x="283"/>
        <item x="53"/>
        <item x="433"/>
        <item x="569"/>
        <item x="508"/>
        <item x="58"/>
        <item x="642"/>
        <item x="276"/>
        <item x="354"/>
        <item x="555"/>
        <item x="164"/>
        <item x="231"/>
        <item x="314"/>
        <item x="116"/>
        <item x="87"/>
        <item x="412"/>
        <item x="11"/>
        <item x="54"/>
        <item x="295"/>
        <item x="432"/>
        <item x="573"/>
        <item x="362"/>
        <item x="592"/>
        <item x="656"/>
        <item x="176"/>
        <item x="305"/>
        <item x="284"/>
        <item x="361"/>
        <item x="383"/>
        <item x="107"/>
        <item x="84"/>
        <item x="369"/>
        <item x="415"/>
        <item x="453"/>
        <item x="85"/>
        <item x="402"/>
        <item x="715"/>
        <item x="554"/>
        <item x="560"/>
        <item x="425"/>
        <item x="103"/>
        <item x="491"/>
        <item x="83"/>
        <item x="711"/>
        <item x="702"/>
        <item x="2"/>
        <item x="317"/>
        <item x="484"/>
        <item x="251"/>
        <item x="584"/>
        <item x="550"/>
        <item x="82"/>
        <item x="437"/>
        <item x="289"/>
        <item x="455"/>
        <item x="325"/>
        <item x="350"/>
        <item x="587"/>
        <item x="91"/>
        <item x="520"/>
        <item x="273"/>
        <item x="293"/>
        <item x="575"/>
        <item x="196"/>
        <item x="98"/>
        <item x="151"/>
        <item x="306"/>
        <item x="487"/>
        <item x="373"/>
        <item x="100"/>
        <item x="272"/>
        <item x="342"/>
        <item x="263"/>
        <item x="720"/>
        <item x="510"/>
        <item x="458"/>
        <item x="298"/>
        <item x="68"/>
        <item x="186"/>
        <item x="42"/>
        <item x="565"/>
        <item x="408"/>
        <item x="154"/>
        <item x="553"/>
        <item x="358"/>
        <item x="503"/>
        <item x="561"/>
        <item x="19"/>
        <item x="316"/>
        <item t="default"/>
      </items>
    </pivotField>
  </pivotFields>
  <rowItems count="1">
    <i/>
  </rowItems>
  <colItems count="1">
    <i/>
  </colItems>
  <dataFields count="1">
    <dataField name="Average of Minutes Streamed Per Day" fld="5" subtotal="average" baseField="0" baseItem="0"/>
  </dataFields>
  <formats count="2">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9872E9-E90A-4A2B-B00B-EE832D2C377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showAll="0"/>
    <pivotField dataField="1" showAll="0"/>
    <pivotField showAll="0">
      <items count="6">
        <item x="4"/>
        <item x="0"/>
        <item x="3"/>
        <item x="2"/>
        <item x="1"/>
        <item t="default"/>
      </items>
    </pivotField>
    <pivotField showAll="0"/>
    <pivotField showAll="0"/>
    <pivotField showAll="0"/>
    <pivotField showAll="0">
      <items count="732">
        <item x="695"/>
        <item x="344"/>
        <item x="184"/>
        <item x="729"/>
        <item x="47"/>
        <item x="442"/>
        <item x="489"/>
        <item x="450"/>
        <item x="291"/>
        <item x="232"/>
        <item x="359"/>
        <item x="183"/>
        <item x="496"/>
        <item x="37"/>
        <item x="706"/>
        <item x="156"/>
        <item x="591"/>
        <item x="43"/>
        <item x="384"/>
        <item x="118"/>
        <item x="479"/>
        <item x="420"/>
        <item x="493"/>
        <item x="303"/>
        <item x="545"/>
        <item x="692"/>
        <item x="518"/>
        <item x="459"/>
        <item x="399"/>
        <item x="724"/>
        <item x="700"/>
        <item x="377"/>
        <item x="563"/>
        <item x="577"/>
        <item x="256"/>
        <item x="147"/>
        <item x="1"/>
        <item x="258"/>
        <item x="332"/>
        <item x="315"/>
        <item x="122"/>
        <item x="259"/>
        <item x="221"/>
        <item x="108"/>
        <item x="174"/>
        <item x="34"/>
        <item x="533"/>
        <item x="718"/>
        <item x="667"/>
        <item x="721"/>
        <item x="669"/>
        <item x="447"/>
        <item x="128"/>
        <item x="112"/>
        <item x="225"/>
        <item x="48"/>
        <item x="234"/>
        <item x="275"/>
        <item x="60"/>
        <item x="16"/>
        <item x="632"/>
        <item x="364"/>
        <item x="585"/>
        <item x="237"/>
        <item x="49"/>
        <item x="92"/>
        <item x="671"/>
        <item x="662"/>
        <item x="81"/>
        <item x="653"/>
        <item x="279"/>
        <item x="24"/>
        <item x="250"/>
        <item x="416"/>
        <item x="76"/>
        <item x="546"/>
        <item x="436"/>
        <item x="178"/>
        <item x="278"/>
        <item x="280"/>
        <item x="99"/>
        <item x="410"/>
        <item x="57"/>
        <item x="391"/>
        <item x="536"/>
        <item x="56"/>
        <item x="14"/>
        <item x="556"/>
        <item x="490"/>
        <item x="25"/>
        <item x="209"/>
        <item x="418"/>
        <item x="260"/>
        <item x="462"/>
        <item x="605"/>
        <item x="535"/>
        <item x="515"/>
        <item x="113"/>
        <item x="610"/>
        <item x="541"/>
        <item x="606"/>
        <item x="633"/>
        <item x="322"/>
        <item x="193"/>
        <item x="559"/>
        <item x="188"/>
        <item x="526"/>
        <item x="690"/>
        <item x="378"/>
        <item x="390"/>
        <item x="297"/>
        <item x="474"/>
        <item x="372"/>
        <item x="478"/>
        <item x="602"/>
        <item x="448"/>
        <item x="89"/>
        <item x="236"/>
        <item x="443"/>
        <item x="696"/>
        <item x="506"/>
        <item x="603"/>
        <item x="640"/>
        <item x="267"/>
        <item x="579"/>
        <item x="528"/>
        <item x="363"/>
        <item x="509"/>
        <item x="7"/>
        <item x="396"/>
        <item x="290"/>
        <item x="135"/>
        <item x="349"/>
        <item x="353"/>
        <item x="64"/>
        <item x="109"/>
        <item x="134"/>
        <item x="330"/>
        <item x="701"/>
        <item x="21"/>
        <item x="356"/>
        <item x="41"/>
        <item x="470"/>
        <item x="12"/>
        <item x="340"/>
        <item x="674"/>
        <item x="386"/>
        <item x="301"/>
        <item x="538"/>
        <item x="376"/>
        <item x="421"/>
        <item x="27"/>
        <item x="207"/>
        <item x="678"/>
        <item x="675"/>
        <item x="452"/>
        <item x="643"/>
        <item x="679"/>
        <item x="264"/>
        <item x="217"/>
        <item x="200"/>
        <item x="430"/>
        <item x="634"/>
        <item x="365"/>
        <item x="78"/>
        <item x="220"/>
        <item x="411"/>
        <item x="296"/>
        <item x="480"/>
        <item x="405"/>
        <item x="39"/>
        <item x="647"/>
        <item x="243"/>
        <item x="302"/>
        <item x="6"/>
        <item x="571"/>
        <item x="97"/>
        <item x="666"/>
        <item x="247"/>
        <item x="255"/>
        <item x="551"/>
        <item x="117"/>
        <item x="685"/>
        <item x="119"/>
        <item x="360"/>
        <item x="249"/>
        <item x="313"/>
        <item x="698"/>
        <item x="417"/>
        <item x="504"/>
        <item x="581"/>
        <item x="466"/>
        <item x="63"/>
        <item x="389"/>
        <item x="312"/>
        <item x="368"/>
        <item x="355"/>
        <item x="77"/>
        <item x="583"/>
        <item x="114"/>
        <item x="467"/>
        <item x="413"/>
        <item x="26"/>
        <item x="262"/>
        <item x="663"/>
        <item x="719"/>
        <item x="564"/>
        <item x="185"/>
        <item x="142"/>
        <item x="240"/>
        <item x="590"/>
        <item x="270"/>
        <item x="347"/>
        <item x="274"/>
        <item x="473"/>
        <item x="324"/>
        <item x="269"/>
        <item x="449"/>
        <item x="168"/>
        <item x="23"/>
        <item x="431"/>
        <item x="599"/>
        <item x="705"/>
        <item x="562"/>
        <item x="129"/>
        <item x="62"/>
        <item x="659"/>
        <item x="460"/>
        <item x="646"/>
        <item x="434"/>
        <item x="235"/>
        <item x="292"/>
        <item x="614"/>
        <item x="126"/>
        <item x="387"/>
        <item x="576"/>
        <item x="319"/>
        <item x="523"/>
        <item x="239"/>
        <item x="607"/>
        <item x="612"/>
        <item x="654"/>
        <item x="482"/>
        <item x="475"/>
        <item x="219"/>
        <item x="123"/>
        <item x="70"/>
        <item x="261"/>
        <item x="67"/>
        <item x="233"/>
        <item x="409"/>
        <item x="140"/>
        <item x="682"/>
        <item x="329"/>
        <item x="630"/>
        <item x="210"/>
        <item x="282"/>
        <item x="406"/>
        <item x="716"/>
        <item x="717"/>
        <item x="125"/>
        <item x="604"/>
        <item x="710"/>
        <item x="180"/>
        <item x="28"/>
        <item x="191"/>
        <item x="660"/>
        <item x="530"/>
        <item x="394"/>
        <item x="187"/>
        <item x="46"/>
        <item x="712"/>
        <item x="309"/>
        <item x="17"/>
        <item x="104"/>
        <item x="594"/>
        <item x="463"/>
        <item x="423"/>
        <item x="404"/>
        <item x="96"/>
        <item x="665"/>
        <item x="71"/>
        <item x="146"/>
        <item x="534"/>
        <item x="723"/>
        <item x="537"/>
        <item x="192"/>
        <item x="626"/>
        <item x="226"/>
        <item x="287"/>
        <item x="20"/>
        <item x="422"/>
        <item x="242"/>
        <item x="395"/>
        <item x="655"/>
        <item x="131"/>
        <item x="102"/>
        <item x="230"/>
        <item x="18"/>
        <item x="652"/>
        <item x="709"/>
        <item x="697"/>
        <item x="286"/>
        <item x="398"/>
        <item x="346"/>
        <item x="285"/>
        <item x="631"/>
        <item x="625"/>
        <item x="707"/>
        <item x="401"/>
        <item x="501"/>
        <item x="130"/>
        <item x="152"/>
        <item x="277"/>
        <item x="507"/>
        <item x="132"/>
        <item x="204"/>
        <item x="337"/>
        <item x="141"/>
        <item x="29"/>
        <item x="224"/>
        <item x="693"/>
        <item x="670"/>
        <item x="694"/>
        <item x="621"/>
        <item x="161"/>
        <item x="158"/>
        <item x="454"/>
        <item x="229"/>
        <item x="357"/>
        <item x="345"/>
        <item x="388"/>
        <item x="514"/>
        <item x="44"/>
        <item x="680"/>
        <item x="0"/>
        <item x="620"/>
        <item x="713"/>
        <item x="153"/>
        <item x="691"/>
        <item x="175"/>
        <item x="521"/>
        <item x="684"/>
        <item x="95"/>
        <item x="494"/>
        <item x="645"/>
        <item x="212"/>
        <item x="194"/>
        <item x="522"/>
        <item x="635"/>
        <item x="227"/>
        <item x="722"/>
        <item x="649"/>
        <item x="616"/>
        <item x="271"/>
        <item x="629"/>
        <item x="464"/>
        <item x="120"/>
        <item x="544"/>
        <item x="397"/>
        <item x="245"/>
        <item x="335"/>
        <item x="266"/>
        <item x="728"/>
        <item x="552"/>
        <item x="683"/>
        <item x="457"/>
        <item x="138"/>
        <item x="169"/>
        <item x="136"/>
        <item x="149"/>
        <item x="257"/>
        <item x="618"/>
        <item x="638"/>
        <item x="61"/>
        <item x="495"/>
        <item x="31"/>
        <item x="163"/>
        <item x="548"/>
        <item x="547"/>
        <item x="609"/>
        <item x="93"/>
        <item x="628"/>
        <item x="588"/>
        <item x="440"/>
        <item x="688"/>
        <item x="622"/>
        <item x="668"/>
        <item x="644"/>
        <item x="527"/>
        <item x="51"/>
        <item x="205"/>
        <item x="79"/>
        <item x="213"/>
        <item x="352"/>
        <item x="441"/>
        <item x="476"/>
        <item x="106"/>
        <item x="488"/>
        <item x="327"/>
        <item x="223"/>
        <item x="52"/>
        <item x="461"/>
        <item x="586"/>
        <item x="199"/>
        <item x="595"/>
        <item x="568"/>
        <item x="596"/>
        <item x="481"/>
        <item x="172"/>
        <item x="3"/>
        <item x="9"/>
        <item x="74"/>
        <item x="424"/>
        <item x="375"/>
        <item x="371"/>
        <item x="189"/>
        <item x="613"/>
        <item x="159"/>
        <item x="133"/>
        <item x="444"/>
        <item x="94"/>
        <item x="539"/>
        <item x="173"/>
        <item x="105"/>
        <item x="380"/>
        <item x="672"/>
        <item x="228"/>
        <item x="201"/>
        <item x="407"/>
        <item x="244"/>
        <item x="727"/>
        <item x="253"/>
        <item x="651"/>
        <item x="167"/>
        <item x="374"/>
        <item x="601"/>
        <item x="115"/>
        <item x="531"/>
        <item x="300"/>
        <item x="323"/>
        <item x="326"/>
        <item x="248"/>
        <item x="22"/>
        <item x="428"/>
        <item x="294"/>
        <item x="195"/>
        <item x="265"/>
        <item x="543"/>
        <item x="190"/>
        <item x="121"/>
        <item x="486"/>
        <item x="370"/>
        <item x="658"/>
        <item x="511"/>
        <item x="144"/>
        <item x="532"/>
        <item x="238"/>
        <item x="72"/>
        <item x="211"/>
        <item x="726"/>
        <item x="500"/>
        <item x="570"/>
        <item x="637"/>
        <item x="708"/>
        <item x="502"/>
        <item x="45"/>
        <item x="86"/>
        <item x="623"/>
        <item x="246"/>
        <item x="572"/>
        <item x="310"/>
        <item x="339"/>
        <item x="426"/>
        <item x="171"/>
        <item x="203"/>
        <item x="4"/>
        <item x="182"/>
        <item x="198"/>
        <item x="673"/>
        <item x="35"/>
        <item x="566"/>
        <item x="676"/>
        <item x="351"/>
        <item x="162"/>
        <item x="385"/>
        <item x="498"/>
        <item x="15"/>
        <item x="206"/>
        <item x="5"/>
        <item x="30"/>
        <item x="13"/>
        <item x="557"/>
        <item x="611"/>
        <item x="677"/>
        <item x="208"/>
        <item x="516"/>
        <item x="427"/>
        <item x="446"/>
        <item x="308"/>
        <item x="419"/>
        <item x="311"/>
        <item x="65"/>
        <item x="657"/>
        <item x="704"/>
        <item x="55"/>
        <item x="664"/>
        <item x="320"/>
        <item x="497"/>
        <item x="525"/>
        <item x="578"/>
        <item x="542"/>
        <item x="465"/>
        <item x="513"/>
        <item x="268"/>
        <item x="540"/>
        <item x="485"/>
        <item x="686"/>
        <item x="75"/>
        <item x="80"/>
        <item x="218"/>
        <item x="549"/>
        <item x="650"/>
        <item x="730"/>
        <item x="155"/>
        <item x="619"/>
        <item x="222"/>
        <item x="38"/>
        <item x="400"/>
        <item x="414"/>
        <item x="381"/>
        <item x="567"/>
        <item x="241"/>
        <item x="143"/>
        <item x="505"/>
        <item x="689"/>
        <item x="331"/>
        <item x="636"/>
        <item x="435"/>
        <item x="456"/>
        <item x="321"/>
        <item x="10"/>
        <item x="439"/>
        <item x="59"/>
        <item x="288"/>
        <item x="348"/>
        <item x="318"/>
        <item x="492"/>
        <item x="111"/>
        <item x="648"/>
        <item x="214"/>
        <item x="714"/>
        <item x="137"/>
        <item x="254"/>
        <item x="512"/>
        <item x="336"/>
        <item x="477"/>
        <item x="608"/>
        <item x="197"/>
        <item x="8"/>
        <item x="558"/>
        <item x="661"/>
        <item x="307"/>
        <item x="69"/>
        <item x="617"/>
        <item x="382"/>
        <item x="157"/>
        <item x="519"/>
        <item x="366"/>
        <item x="252"/>
        <item x="580"/>
        <item x="600"/>
        <item x="177"/>
        <item x="598"/>
        <item x="624"/>
        <item x="529"/>
        <item x="468"/>
        <item x="32"/>
        <item x="88"/>
        <item x="341"/>
        <item x="725"/>
        <item x="170"/>
        <item x="392"/>
        <item x="40"/>
        <item x="124"/>
        <item x="471"/>
        <item x="90"/>
        <item x="338"/>
        <item x="574"/>
        <item x="127"/>
        <item x="429"/>
        <item x="472"/>
        <item x="202"/>
        <item x="597"/>
        <item x="36"/>
        <item x="469"/>
        <item x="73"/>
        <item x="615"/>
        <item x="50"/>
        <item x="181"/>
        <item x="589"/>
        <item x="139"/>
        <item x="160"/>
        <item x="367"/>
        <item x="33"/>
        <item x="166"/>
        <item x="438"/>
        <item x="499"/>
        <item x="451"/>
        <item x="639"/>
        <item x="627"/>
        <item x="216"/>
        <item x="304"/>
        <item x="393"/>
        <item x="66"/>
        <item x="179"/>
        <item x="582"/>
        <item x="148"/>
        <item x="403"/>
        <item x="517"/>
        <item x="483"/>
        <item x="110"/>
        <item x="333"/>
        <item x="379"/>
        <item x="641"/>
        <item x="150"/>
        <item x="593"/>
        <item x="145"/>
        <item x="687"/>
        <item x="524"/>
        <item x="328"/>
        <item x="215"/>
        <item x="299"/>
        <item x="165"/>
        <item x="334"/>
        <item x="101"/>
        <item x="281"/>
        <item x="445"/>
        <item x="703"/>
        <item x="681"/>
        <item x="343"/>
        <item x="699"/>
        <item x="283"/>
        <item x="53"/>
        <item x="433"/>
        <item x="569"/>
        <item x="508"/>
        <item x="58"/>
        <item x="642"/>
        <item x="276"/>
        <item x="354"/>
        <item x="555"/>
        <item x="164"/>
        <item x="231"/>
        <item x="314"/>
        <item x="116"/>
        <item x="87"/>
        <item x="412"/>
        <item x="11"/>
        <item x="54"/>
        <item x="295"/>
        <item x="432"/>
        <item x="573"/>
        <item x="362"/>
        <item x="592"/>
        <item x="656"/>
        <item x="176"/>
        <item x="305"/>
        <item x="284"/>
        <item x="361"/>
        <item x="383"/>
        <item x="107"/>
        <item x="84"/>
        <item x="369"/>
        <item x="415"/>
        <item x="453"/>
        <item x="85"/>
        <item x="402"/>
        <item x="715"/>
        <item x="554"/>
        <item x="560"/>
        <item x="425"/>
        <item x="103"/>
        <item x="491"/>
        <item x="83"/>
        <item x="711"/>
        <item x="702"/>
        <item x="2"/>
        <item x="317"/>
        <item x="484"/>
        <item x="251"/>
        <item x="584"/>
        <item x="550"/>
        <item x="82"/>
        <item x="437"/>
        <item x="289"/>
        <item x="455"/>
        <item x="325"/>
        <item x="350"/>
        <item x="587"/>
        <item x="91"/>
        <item x="520"/>
        <item x="273"/>
        <item x="293"/>
        <item x="575"/>
        <item x="196"/>
        <item x="98"/>
        <item x="151"/>
        <item x="306"/>
        <item x="487"/>
        <item x="373"/>
        <item x="100"/>
        <item x="272"/>
        <item x="342"/>
        <item x="263"/>
        <item x="720"/>
        <item x="510"/>
        <item x="458"/>
        <item x="298"/>
        <item x="68"/>
        <item x="186"/>
        <item x="42"/>
        <item x="565"/>
        <item x="408"/>
        <item x="154"/>
        <item x="553"/>
        <item x="358"/>
        <item x="503"/>
        <item x="561"/>
        <item x="19"/>
        <item x="316"/>
        <item t="default"/>
      </items>
    </pivotField>
  </pivotFields>
  <rowItems count="1">
    <i/>
  </rowItems>
  <colItems count="1">
    <i/>
  </colItems>
  <dataFields count="1">
    <dataField name="Sum of Number of Songs Liked" fld="6" baseField="0" baseItem="0"/>
  </dataFields>
  <formats count="2">
    <format dxfId="37">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9DB2F3-B8F3-47C4-9D3E-B679BD2BF0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showAll="0"/>
    <pivotField showAll="0"/>
    <pivotField showAll="0">
      <items count="6">
        <item x="4"/>
        <item x="0"/>
        <item x="3"/>
        <item x="2"/>
        <item x="1"/>
        <item t="default"/>
      </items>
    </pivotField>
    <pivotField showAll="0"/>
    <pivotField showAll="0"/>
    <pivotField dataField="1" showAll="0"/>
    <pivotField showAll="0">
      <items count="732">
        <item x="695"/>
        <item x="344"/>
        <item x="184"/>
        <item x="729"/>
        <item x="47"/>
        <item x="442"/>
        <item x="489"/>
        <item x="450"/>
        <item x="291"/>
        <item x="232"/>
        <item x="359"/>
        <item x="183"/>
        <item x="496"/>
        <item x="37"/>
        <item x="706"/>
        <item x="156"/>
        <item x="591"/>
        <item x="43"/>
        <item x="384"/>
        <item x="118"/>
        <item x="479"/>
        <item x="420"/>
        <item x="493"/>
        <item x="303"/>
        <item x="545"/>
        <item x="692"/>
        <item x="518"/>
        <item x="459"/>
        <item x="399"/>
        <item x="724"/>
        <item x="700"/>
        <item x="377"/>
        <item x="563"/>
        <item x="577"/>
        <item x="256"/>
        <item x="147"/>
        <item x="1"/>
        <item x="258"/>
        <item x="332"/>
        <item x="315"/>
        <item x="122"/>
        <item x="259"/>
        <item x="221"/>
        <item x="108"/>
        <item x="174"/>
        <item x="34"/>
        <item x="533"/>
        <item x="718"/>
        <item x="667"/>
        <item x="721"/>
        <item x="669"/>
        <item x="447"/>
        <item x="128"/>
        <item x="112"/>
        <item x="225"/>
        <item x="48"/>
        <item x="234"/>
        <item x="275"/>
        <item x="60"/>
        <item x="16"/>
        <item x="632"/>
        <item x="364"/>
        <item x="585"/>
        <item x="237"/>
        <item x="49"/>
        <item x="92"/>
        <item x="671"/>
        <item x="662"/>
        <item x="81"/>
        <item x="653"/>
        <item x="279"/>
        <item x="24"/>
        <item x="250"/>
        <item x="416"/>
        <item x="76"/>
        <item x="546"/>
        <item x="436"/>
        <item x="178"/>
        <item x="278"/>
        <item x="280"/>
        <item x="99"/>
        <item x="410"/>
        <item x="57"/>
        <item x="391"/>
        <item x="536"/>
        <item x="56"/>
        <item x="14"/>
        <item x="556"/>
        <item x="490"/>
        <item x="25"/>
        <item x="209"/>
        <item x="418"/>
        <item x="260"/>
        <item x="462"/>
        <item x="605"/>
        <item x="535"/>
        <item x="515"/>
        <item x="113"/>
        <item x="610"/>
        <item x="541"/>
        <item x="606"/>
        <item x="633"/>
        <item x="322"/>
        <item x="193"/>
        <item x="559"/>
        <item x="188"/>
        <item x="526"/>
        <item x="690"/>
        <item x="378"/>
        <item x="390"/>
        <item x="297"/>
        <item x="474"/>
        <item x="372"/>
        <item x="478"/>
        <item x="602"/>
        <item x="448"/>
        <item x="89"/>
        <item x="236"/>
        <item x="443"/>
        <item x="696"/>
        <item x="506"/>
        <item x="603"/>
        <item x="640"/>
        <item x="267"/>
        <item x="579"/>
        <item x="528"/>
        <item x="363"/>
        <item x="509"/>
        <item x="7"/>
        <item x="396"/>
        <item x="290"/>
        <item x="135"/>
        <item x="349"/>
        <item x="353"/>
        <item x="64"/>
        <item x="109"/>
        <item x="134"/>
        <item x="330"/>
        <item x="701"/>
        <item x="21"/>
        <item x="356"/>
        <item x="41"/>
        <item x="470"/>
        <item x="12"/>
        <item x="340"/>
        <item x="674"/>
        <item x="386"/>
        <item x="301"/>
        <item x="538"/>
        <item x="376"/>
        <item x="421"/>
        <item x="27"/>
        <item x="207"/>
        <item x="678"/>
        <item x="675"/>
        <item x="452"/>
        <item x="643"/>
        <item x="679"/>
        <item x="264"/>
        <item x="217"/>
        <item x="200"/>
        <item x="430"/>
        <item x="634"/>
        <item x="365"/>
        <item x="78"/>
        <item x="220"/>
        <item x="411"/>
        <item x="296"/>
        <item x="480"/>
        <item x="405"/>
        <item x="39"/>
        <item x="647"/>
        <item x="243"/>
        <item x="302"/>
        <item x="6"/>
        <item x="571"/>
        <item x="97"/>
        <item x="666"/>
        <item x="247"/>
        <item x="255"/>
        <item x="551"/>
        <item x="117"/>
        <item x="685"/>
        <item x="119"/>
        <item x="360"/>
        <item x="249"/>
        <item x="313"/>
        <item x="698"/>
        <item x="417"/>
        <item x="504"/>
        <item x="581"/>
        <item x="466"/>
        <item x="63"/>
        <item x="389"/>
        <item x="312"/>
        <item x="368"/>
        <item x="355"/>
        <item x="77"/>
        <item x="583"/>
        <item x="114"/>
        <item x="467"/>
        <item x="413"/>
        <item x="26"/>
        <item x="262"/>
        <item x="663"/>
        <item x="719"/>
        <item x="564"/>
        <item x="185"/>
        <item x="142"/>
        <item x="240"/>
        <item x="590"/>
        <item x="270"/>
        <item x="347"/>
        <item x="274"/>
        <item x="473"/>
        <item x="324"/>
        <item x="269"/>
        <item x="449"/>
        <item x="168"/>
        <item x="23"/>
        <item x="431"/>
        <item x="599"/>
        <item x="705"/>
        <item x="562"/>
        <item x="129"/>
        <item x="62"/>
        <item x="659"/>
        <item x="460"/>
        <item x="646"/>
        <item x="434"/>
        <item x="235"/>
        <item x="292"/>
        <item x="614"/>
        <item x="126"/>
        <item x="387"/>
        <item x="576"/>
        <item x="319"/>
        <item x="523"/>
        <item x="239"/>
        <item x="607"/>
        <item x="612"/>
        <item x="654"/>
        <item x="482"/>
        <item x="475"/>
        <item x="219"/>
        <item x="123"/>
        <item x="70"/>
        <item x="261"/>
        <item x="67"/>
        <item x="233"/>
        <item x="409"/>
        <item x="140"/>
        <item x="682"/>
        <item x="329"/>
        <item x="630"/>
        <item x="210"/>
        <item x="282"/>
        <item x="406"/>
        <item x="716"/>
        <item x="717"/>
        <item x="125"/>
        <item x="604"/>
        <item x="710"/>
        <item x="180"/>
        <item x="28"/>
        <item x="191"/>
        <item x="660"/>
        <item x="530"/>
        <item x="394"/>
        <item x="187"/>
        <item x="46"/>
        <item x="712"/>
        <item x="309"/>
        <item x="17"/>
        <item x="104"/>
        <item x="594"/>
        <item x="463"/>
        <item x="423"/>
        <item x="404"/>
        <item x="96"/>
        <item x="665"/>
        <item x="71"/>
        <item x="146"/>
        <item x="534"/>
        <item x="723"/>
        <item x="537"/>
        <item x="192"/>
        <item x="626"/>
        <item x="226"/>
        <item x="287"/>
        <item x="20"/>
        <item x="422"/>
        <item x="242"/>
        <item x="395"/>
        <item x="655"/>
        <item x="131"/>
        <item x="102"/>
        <item x="230"/>
        <item x="18"/>
        <item x="652"/>
        <item x="709"/>
        <item x="697"/>
        <item x="286"/>
        <item x="398"/>
        <item x="346"/>
        <item x="285"/>
        <item x="631"/>
        <item x="625"/>
        <item x="707"/>
        <item x="401"/>
        <item x="501"/>
        <item x="130"/>
        <item x="152"/>
        <item x="277"/>
        <item x="507"/>
        <item x="132"/>
        <item x="204"/>
        <item x="337"/>
        <item x="141"/>
        <item x="29"/>
        <item x="224"/>
        <item x="693"/>
        <item x="670"/>
        <item x="694"/>
        <item x="621"/>
        <item x="161"/>
        <item x="158"/>
        <item x="454"/>
        <item x="229"/>
        <item x="357"/>
        <item x="345"/>
        <item x="388"/>
        <item x="514"/>
        <item x="44"/>
        <item x="680"/>
        <item x="0"/>
        <item x="620"/>
        <item x="713"/>
        <item x="153"/>
        <item x="691"/>
        <item x="175"/>
        <item x="521"/>
        <item x="684"/>
        <item x="95"/>
        <item x="494"/>
        <item x="645"/>
        <item x="212"/>
        <item x="194"/>
        <item x="522"/>
        <item x="635"/>
        <item x="227"/>
        <item x="722"/>
        <item x="649"/>
        <item x="616"/>
        <item x="271"/>
        <item x="629"/>
        <item x="464"/>
        <item x="120"/>
        <item x="544"/>
        <item x="397"/>
        <item x="245"/>
        <item x="335"/>
        <item x="266"/>
        <item x="728"/>
        <item x="552"/>
        <item x="683"/>
        <item x="457"/>
        <item x="138"/>
        <item x="169"/>
        <item x="136"/>
        <item x="149"/>
        <item x="257"/>
        <item x="618"/>
        <item x="638"/>
        <item x="61"/>
        <item x="495"/>
        <item x="31"/>
        <item x="163"/>
        <item x="548"/>
        <item x="547"/>
        <item x="609"/>
        <item x="93"/>
        <item x="628"/>
        <item x="588"/>
        <item x="440"/>
        <item x="688"/>
        <item x="622"/>
        <item x="668"/>
        <item x="644"/>
        <item x="527"/>
        <item x="51"/>
        <item x="205"/>
        <item x="79"/>
        <item x="213"/>
        <item x="352"/>
        <item x="441"/>
        <item x="476"/>
        <item x="106"/>
        <item x="488"/>
        <item x="327"/>
        <item x="223"/>
        <item x="52"/>
        <item x="461"/>
        <item x="586"/>
        <item x="199"/>
        <item x="595"/>
        <item x="568"/>
        <item x="596"/>
        <item x="481"/>
        <item x="172"/>
        <item x="3"/>
        <item x="9"/>
        <item x="74"/>
        <item x="424"/>
        <item x="375"/>
        <item x="371"/>
        <item x="189"/>
        <item x="613"/>
        <item x="159"/>
        <item x="133"/>
        <item x="444"/>
        <item x="94"/>
        <item x="539"/>
        <item x="173"/>
        <item x="105"/>
        <item x="380"/>
        <item x="672"/>
        <item x="228"/>
        <item x="201"/>
        <item x="407"/>
        <item x="244"/>
        <item x="727"/>
        <item x="253"/>
        <item x="651"/>
        <item x="167"/>
        <item x="374"/>
        <item x="601"/>
        <item x="115"/>
        <item x="531"/>
        <item x="300"/>
        <item x="323"/>
        <item x="326"/>
        <item x="248"/>
        <item x="22"/>
        <item x="428"/>
        <item x="294"/>
        <item x="195"/>
        <item x="265"/>
        <item x="543"/>
        <item x="190"/>
        <item x="121"/>
        <item x="486"/>
        <item x="370"/>
        <item x="658"/>
        <item x="511"/>
        <item x="144"/>
        <item x="532"/>
        <item x="238"/>
        <item x="72"/>
        <item x="211"/>
        <item x="726"/>
        <item x="500"/>
        <item x="570"/>
        <item x="637"/>
        <item x="708"/>
        <item x="502"/>
        <item x="45"/>
        <item x="86"/>
        <item x="623"/>
        <item x="246"/>
        <item x="572"/>
        <item x="310"/>
        <item x="339"/>
        <item x="426"/>
        <item x="171"/>
        <item x="203"/>
        <item x="4"/>
        <item x="182"/>
        <item x="198"/>
        <item x="673"/>
        <item x="35"/>
        <item x="566"/>
        <item x="676"/>
        <item x="351"/>
        <item x="162"/>
        <item x="385"/>
        <item x="498"/>
        <item x="15"/>
        <item x="206"/>
        <item x="5"/>
        <item x="30"/>
        <item x="13"/>
        <item x="557"/>
        <item x="611"/>
        <item x="677"/>
        <item x="208"/>
        <item x="516"/>
        <item x="427"/>
        <item x="446"/>
        <item x="308"/>
        <item x="419"/>
        <item x="311"/>
        <item x="65"/>
        <item x="657"/>
        <item x="704"/>
        <item x="55"/>
        <item x="664"/>
        <item x="320"/>
        <item x="497"/>
        <item x="525"/>
        <item x="578"/>
        <item x="542"/>
        <item x="465"/>
        <item x="513"/>
        <item x="268"/>
        <item x="540"/>
        <item x="485"/>
        <item x="686"/>
        <item x="75"/>
        <item x="80"/>
        <item x="218"/>
        <item x="549"/>
        <item x="650"/>
        <item x="730"/>
        <item x="155"/>
        <item x="619"/>
        <item x="222"/>
        <item x="38"/>
        <item x="400"/>
        <item x="414"/>
        <item x="381"/>
        <item x="567"/>
        <item x="241"/>
        <item x="143"/>
        <item x="505"/>
        <item x="689"/>
        <item x="331"/>
        <item x="636"/>
        <item x="435"/>
        <item x="456"/>
        <item x="321"/>
        <item x="10"/>
        <item x="439"/>
        <item x="59"/>
        <item x="288"/>
        <item x="348"/>
        <item x="318"/>
        <item x="492"/>
        <item x="111"/>
        <item x="648"/>
        <item x="214"/>
        <item x="714"/>
        <item x="137"/>
        <item x="254"/>
        <item x="512"/>
        <item x="336"/>
        <item x="477"/>
        <item x="608"/>
        <item x="197"/>
        <item x="8"/>
        <item x="558"/>
        <item x="661"/>
        <item x="307"/>
        <item x="69"/>
        <item x="617"/>
        <item x="382"/>
        <item x="157"/>
        <item x="519"/>
        <item x="366"/>
        <item x="252"/>
        <item x="580"/>
        <item x="600"/>
        <item x="177"/>
        <item x="598"/>
        <item x="624"/>
        <item x="529"/>
        <item x="468"/>
        <item x="32"/>
        <item x="88"/>
        <item x="341"/>
        <item x="725"/>
        <item x="170"/>
        <item x="392"/>
        <item x="40"/>
        <item x="124"/>
        <item x="471"/>
        <item x="90"/>
        <item x="338"/>
        <item x="574"/>
        <item x="127"/>
        <item x="429"/>
        <item x="472"/>
        <item x="202"/>
        <item x="597"/>
        <item x="36"/>
        <item x="469"/>
        <item x="73"/>
        <item x="615"/>
        <item x="50"/>
        <item x="181"/>
        <item x="589"/>
        <item x="139"/>
        <item x="160"/>
        <item x="367"/>
        <item x="33"/>
        <item x="166"/>
        <item x="438"/>
        <item x="499"/>
        <item x="451"/>
        <item x="639"/>
        <item x="627"/>
        <item x="216"/>
        <item x="304"/>
        <item x="393"/>
        <item x="66"/>
        <item x="179"/>
        <item x="582"/>
        <item x="148"/>
        <item x="403"/>
        <item x="517"/>
        <item x="483"/>
        <item x="110"/>
        <item x="333"/>
        <item x="379"/>
        <item x="641"/>
        <item x="150"/>
        <item x="593"/>
        <item x="145"/>
        <item x="687"/>
        <item x="524"/>
        <item x="328"/>
        <item x="215"/>
        <item x="299"/>
        <item x="165"/>
        <item x="334"/>
        <item x="101"/>
        <item x="281"/>
        <item x="445"/>
        <item x="703"/>
        <item x="681"/>
        <item x="343"/>
        <item x="699"/>
        <item x="283"/>
        <item x="53"/>
        <item x="433"/>
        <item x="569"/>
        <item x="508"/>
        <item x="58"/>
        <item x="642"/>
        <item x="276"/>
        <item x="354"/>
        <item x="555"/>
        <item x="164"/>
        <item x="231"/>
        <item x="314"/>
        <item x="116"/>
        <item x="87"/>
        <item x="412"/>
        <item x="11"/>
        <item x="54"/>
        <item x="295"/>
        <item x="432"/>
        <item x="573"/>
        <item x="362"/>
        <item x="592"/>
        <item x="656"/>
        <item x="176"/>
        <item x="305"/>
        <item x="284"/>
        <item x="361"/>
        <item x="383"/>
        <item x="107"/>
        <item x="84"/>
        <item x="369"/>
        <item x="415"/>
        <item x="453"/>
        <item x="85"/>
        <item x="402"/>
        <item x="715"/>
        <item x="554"/>
        <item x="560"/>
        <item x="425"/>
        <item x="103"/>
        <item x="491"/>
        <item x="83"/>
        <item x="711"/>
        <item x="702"/>
        <item x="2"/>
        <item x="317"/>
        <item x="484"/>
        <item x="251"/>
        <item x="584"/>
        <item x="550"/>
        <item x="82"/>
        <item x="437"/>
        <item x="289"/>
        <item x="455"/>
        <item x="325"/>
        <item x="350"/>
        <item x="587"/>
        <item x="91"/>
        <item x="520"/>
        <item x="273"/>
        <item x="293"/>
        <item x="575"/>
        <item x="196"/>
        <item x="98"/>
        <item x="151"/>
        <item x="306"/>
        <item x="487"/>
        <item x="373"/>
        <item x="100"/>
        <item x="272"/>
        <item x="342"/>
        <item x="263"/>
        <item x="720"/>
        <item x="510"/>
        <item x="458"/>
        <item x="298"/>
        <item x="68"/>
        <item x="186"/>
        <item x="42"/>
        <item x="565"/>
        <item x="408"/>
        <item x="154"/>
        <item x="553"/>
        <item x="358"/>
        <item x="503"/>
        <item x="561"/>
        <item x="19"/>
        <item x="316"/>
        <item t="default"/>
      </items>
    </pivotField>
  </pivotFields>
  <rowItems count="1">
    <i/>
  </rowItems>
  <colItems count="1">
    <i/>
  </colItems>
  <dataFields count="1">
    <dataField name="Average of Discover Weekly Engagement (%)" fld="10" subtotal="average" baseField="0" baseItem="0"/>
  </dataFields>
  <formats count="2">
    <format dxfId="35">
      <pivotArea outline="0" collapsedLevelsAreSubtotals="1"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E9D49F-9127-45F7-84C0-618B0E8EDE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showAll="0"/>
    <pivotField showAll="0"/>
    <pivotField showAll="0">
      <items count="6">
        <item x="4"/>
        <item x="0"/>
        <item x="3"/>
        <item x="2"/>
        <item x="1"/>
        <item t="default"/>
      </items>
    </pivotField>
    <pivotField showAll="0"/>
    <pivotField showAll="0"/>
    <pivotField showAll="0"/>
    <pivotField dataField="1" showAll="0">
      <items count="732">
        <item x="695"/>
        <item x="344"/>
        <item x="184"/>
        <item x="729"/>
        <item x="47"/>
        <item x="442"/>
        <item x="489"/>
        <item x="450"/>
        <item x="291"/>
        <item x="232"/>
        <item x="359"/>
        <item x="183"/>
        <item x="496"/>
        <item x="37"/>
        <item x="706"/>
        <item x="156"/>
        <item x="591"/>
        <item x="43"/>
        <item x="384"/>
        <item x="118"/>
        <item x="479"/>
        <item x="420"/>
        <item x="493"/>
        <item x="303"/>
        <item x="545"/>
        <item x="692"/>
        <item x="518"/>
        <item x="459"/>
        <item x="399"/>
        <item x="724"/>
        <item x="700"/>
        <item x="377"/>
        <item x="563"/>
        <item x="577"/>
        <item x="256"/>
        <item x="147"/>
        <item x="1"/>
        <item x="258"/>
        <item x="332"/>
        <item x="315"/>
        <item x="122"/>
        <item x="259"/>
        <item x="221"/>
        <item x="108"/>
        <item x="174"/>
        <item x="34"/>
        <item x="533"/>
        <item x="718"/>
        <item x="667"/>
        <item x="721"/>
        <item x="669"/>
        <item x="447"/>
        <item x="128"/>
        <item x="112"/>
        <item x="225"/>
        <item x="48"/>
        <item x="234"/>
        <item x="275"/>
        <item x="60"/>
        <item x="16"/>
        <item x="632"/>
        <item x="364"/>
        <item x="585"/>
        <item x="237"/>
        <item x="49"/>
        <item x="92"/>
        <item x="671"/>
        <item x="662"/>
        <item x="81"/>
        <item x="653"/>
        <item x="279"/>
        <item x="24"/>
        <item x="250"/>
        <item x="416"/>
        <item x="76"/>
        <item x="546"/>
        <item x="436"/>
        <item x="178"/>
        <item x="278"/>
        <item x="280"/>
        <item x="99"/>
        <item x="410"/>
        <item x="57"/>
        <item x="391"/>
        <item x="536"/>
        <item x="56"/>
        <item x="14"/>
        <item x="556"/>
        <item x="490"/>
        <item x="25"/>
        <item x="209"/>
        <item x="418"/>
        <item x="260"/>
        <item x="462"/>
        <item x="605"/>
        <item x="535"/>
        <item x="515"/>
        <item x="113"/>
        <item x="610"/>
        <item x="541"/>
        <item x="606"/>
        <item x="633"/>
        <item x="322"/>
        <item x="193"/>
        <item x="559"/>
        <item x="188"/>
        <item x="526"/>
        <item x="690"/>
        <item x="378"/>
        <item x="390"/>
        <item x="297"/>
        <item x="474"/>
        <item x="372"/>
        <item x="478"/>
        <item x="602"/>
        <item x="448"/>
        <item x="89"/>
        <item x="236"/>
        <item x="443"/>
        <item x="696"/>
        <item x="506"/>
        <item x="603"/>
        <item x="640"/>
        <item x="267"/>
        <item x="579"/>
        <item x="528"/>
        <item x="363"/>
        <item x="509"/>
        <item x="7"/>
        <item x="396"/>
        <item x="290"/>
        <item x="135"/>
        <item x="349"/>
        <item x="353"/>
        <item x="64"/>
        <item x="109"/>
        <item x="134"/>
        <item x="330"/>
        <item x="701"/>
        <item x="21"/>
        <item x="356"/>
        <item x="41"/>
        <item x="470"/>
        <item x="12"/>
        <item x="340"/>
        <item x="674"/>
        <item x="386"/>
        <item x="301"/>
        <item x="538"/>
        <item x="376"/>
        <item x="421"/>
        <item x="27"/>
        <item x="207"/>
        <item x="678"/>
        <item x="675"/>
        <item x="452"/>
        <item x="643"/>
        <item x="679"/>
        <item x="264"/>
        <item x="217"/>
        <item x="200"/>
        <item x="430"/>
        <item x="634"/>
        <item x="365"/>
        <item x="78"/>
        <item x="220"/>
        <item x="411"/>
        <item x="296"/>
        <item x="480"/>
        <item x="405"/>
        <item x="39"/>
        <item x="647"/>
        <item x="243"/>
        <item x="302"/>
        <item x="6"/>
        <item x="571"/>
        <item x="97"/>
        <item x="666"/>
        <item x="247"/>
        <item x="255"/>
        <item x="551"/>
        <item x="117"/>
        <item x="685"/>
        <item x="119"/>
        <item x="360"/>
        <item x="249"/>
        <item x="313"/>
        <item x="698"/>
        <item x="417"/>
        <item x="504"/>
        <item x="581"/>
        <item x="466"/>
        <item x="63"/>
        <item x="389"/>
        <item x="312"/>
        <item x="368"/>
        <item x="355"/>
        <item x="77"/>
        <item x="583"/>
        <item x="114"/>
        <item x="467"/>
        <item x="413"/>
        <item x="26"/>
        <item x="262"/>
        <item x="663"/>
        <item x="719"/>
        <item x="564"/>
        <item x="185"/>
        <item x="142"/>
        <item x="240"/>
        <item x="590"/>
        <item x="270"/>
        <item x="347"/>
        <item x="274"/>
        <item x="473"/>
        <item x="324"/>
        <item x="269"/>
        <item x="449"/>
        <item x="168"/>
        <item x="23"/>
        <item x="431"/>
        <item x="599"/>
        <item x="705"/>
        <item x="562"/>
        <item x="129"/>
        <item x="62"/>
        <item x="659"/>
        <item x="460"/>
        <item x="646"/>
        <item x="434"/>
        <item x="235"/>
        <item x="292"/>
        <item x="614"/>
        <item x="126"/>
        <item x="387"/>
        <item x="576"/>
        <item x="319"/>
        <item x="523"/>
        <item x="239"/>
        <item x="607"/>
        <item x="612"/>
        <item x="654"/>
        <item x="482"/>
        <item x="475"/>
        <item x="219"/>
        <item x="123"/>
        <item x="70"/>
        <item x="261"/>
        <item x="67"/>
        <item x="233"/>
        <item x="409"/>
        <item x="140"/>
        <item x="682"/>
        <item x="329"/>
        <item x="630"/>
        <item x="210"/>
        <item x="282"/>
        <item x="406"/>
        <item x="716"/>
        <item x="717"/>
        <item x="125"/>
        <item x="604"/>
        <item x="710"/>
        <item x="180"/>
        <item x="28"/>
        <item x="191"/>
        <item x="660"/>
        <item x="530"/>
        <item x="394"/>
        <item x="187"/>
        <item x="46"/>
        <item x="712"/>
        <item x="309"/>
        <item x="17"/>
        <item x="104"/>
        <item x="594"/>
        <item x="463"/>
        <item x="423"/>
        <item x="404"/>
        <item x="96"/>
        <item x="665"/>
        <item x="71"/>
        <item x="146"/>
        <item x="534"/>
        <item x="723"/>
        <item x="537"/>
        <item x="192"/>
        <item x="626"/>
        <item x="226"/>
        <item x="287"/>
        <item x="20"/>
        <item x="422"/>
        <item x="242"/>
        <item x="395"/>
        <item x="655"/>
        <item x="131"/>
        <item x="102"/>
        <item x="230"/>
        <item x="18"/>
        <item x="652"/>
        <item x="709"/>
        <item x="697"/>
        <item x="286"/>
        <item x="398"/>
        <item x="346"/>
        <item x="285"/>
        <item x="631"/>
        <item x="625"/>
        <item x="707"/>
        <item x="401"/>
        <item x="501"/>
        <item x="130"/>
        <item x="152"/>
        <item x="277"/>
        <item x="507"/>
        <item x="132"/>
        <item x="204"/>
        <item x="337"/>
        <item x="141"/>
        <item x="29"/>
        <item x="224"/>
        <item x="693"/>
        <item x="670"/>
        <item x="694"/>
        <item x="621"/>
        <item x="161"/>
        <item x="158"/>
        <item x="454"/>
        <item x="229"/>
        <item x="357"/>
        <item x="345"/>
        <item x="388"/>
        <item x="514"/>
        <item x="44"/>
        <item x="680"/>
        <item x="0"/>
        <item x="620"/>
        <item x="713"/>
        <item x="153"/>
        <item x="691"/>
        <item x="175"/>
        <item x="521"/>
        <item x="684"/>
        <item x="95"/>
        <item x="494"/>
        <item x="645"/>
        <item x="212"/>
        <item x="194"/>
        <item x="522"/>
        <item x="635"/>
        <item x="227"/>
        <item x="722"/>
        <item x="649"/>
        <item x="616"/>
        <item x="271"/>
        <item x="629"/>
        <item x="464"/>
        <item x="120"/>
        <item x="544"/>
        <item x="397"/>
        <item x="245"/>
        <item x="335"/>
        <item x="266"/>
        <item x="728"/>
        <item x="552"/>
        <item x="683"/>
        <item x="457"/>
        <item x="138"/>
        <item x="169"/>
        <item x="136"/>
        <item x="149"/>
        <item x="257"/>
        <item x="618"/>
        <item x="638"/>
        <item x="61"/>
        <item x="495"/>
        <item x="31"/>
        <item x="163"/>
        <item x="548"/>
        <item x="547"/>
        <item x="609"/>
        <item x="93"/>
        <item x="628"/>
        <item x="588"/>
        <item x="440"/>
        <item x="688"/>
        <item x="622"/>
        <item x="668"/>
        <item x="644"/>
        <item x="527"/>
        <item x="51"/>
        <item x="205"/>
        <item x="79"/>
        <item x="213"/>
        <item x="352"/>
        <item x="441"/>
        <item x="476"/>
        <item x="106"/>
        <item x="488"/>
        <item x="327"/>
        <item x="223"/>
        <item x="52"/>
        <item x="461"/>
        <item x="586"/>
        <item x="199"/>
        <item x="595"/>
        <item x="568"/>
        <item x="596"/>
        <item x="481"/>
        <item x="172"/>
        <item x="3"/>
        <item x="9"/>
        <item x="74"/>
        <item x="424"/>
        <item x="375"/>
        <item x="371"/>
        <item x="189"/>
        <item x="613"/>
        <item x="159"/>
        <item x="133"/>
        <item x="444"/>
        <item x="94"/>
        <item x="539"/>
        <item x="173"/>
        <item x="105"/>
        <item x="380"/>
        <item x="672"/>
        <item x="228"/>
        <item x="201"/>
        <item x="407"/>
        <item x="244"/>
        <item x="727"/>
        <item x="253"/>
        <item x="651"/>
        <item x="167"/>
        <item x="374"/>
        <item x="601"/>
        <item x="115"/>
        <item x="531"/>
        <item x="300"/>
        <item x="323"/>
        <item x="326"/>
        <item x="248"/>
        <item x="22"/>
        <item x="428"/>
        <item x="294"/>
        <item x="195"/>
        <item x="265"/>
        <item x="543"/>
        <item x="190"/>
        <item x="121"/>
        <item x="486"/>
        <item x="370"/>
        <item x="658"/>
        <item x="511"/>
        <item x="144"/>
        <item x="532"/>
        <item x="238"/>
        <item x="72"/>
        <item x="211"/>
        <item x="726"/>
        <item x="500"/>
        <item x="570"/>
        <item x="637"/>
        <item x="708"/>
        <item x="502"/>
        <item x="45"/>
        <item x="86"/>
        <item x="623"/>
        <item x="246"/>
        <item x="572"/>
        <item x="310"/>
        <item x="339"/>
        <item x="426"/>
        <item x="171"/>
        <item x="203"/>
        <item x="4"/>
        <item x="182"/>
        <item x="198"/>
        <item x="673"/>
        <item x="35"/>
        <item x="566"/>
        <item x="676"/>
        <item x="351"/>
        <item x="162"/>
        <item x="385"/>
        <item x="498"/>
        <item x="15"/>
        <item x="206"/>
        <item x="5"/>
        <item x="30"/>
        <item x="13"/>
        <item x="557"/>
        <item x="611"/>
        <item x="677"/>
        <item x="208"/>
        <item x="516"/>
        <item x="427"/>
        <item x="446"/>
        <item x="308"/>
        <item x="419"/>
        <item x="311"/>
        <item x="65"/>
        <item x="657"/>
        <item x="704"/>
        <item x="55"/>
        <item x="664"/>
        <item x="320"/>
        <item x="497"/>
        <item x="525"/>
        <item x="578"/>
        <item x="542"/>
        <item x="465"/>
        <item x="513"/>
        <item x="268"/>
        <item x="540"/>
        <item x="485"/>
        <item x="686"/>
        <item x="75"/>
        <item x="80"/>
        <item x="218"/>
        <item x="549"/>
        <item x="650"/>
        <item x="730"/>
        <item x="155"/>
        <item x="619"/>
        <item x="222"/>
        <item x="38"/>
        <item x="400"/>
        <item x="414"/>
        <item x="381"/>
        <item x="567"/>
        <item x="241"/>
        <item x="143"/>
        <item x="505"/>
        <item x="689"/>
        <item x="331"/>
        <item x="636"/>
        <item x="435"/>
        <item x="456"/>
        <item x="321"/>
        <item x="10"/>
        <item x="439"/>
        <item x="59"/>
        <item x="288"/>
        <item x="348"/>
        <item x="318"/>
        <item x="492"/>
        <item x="111"/>
        <item x="648"/>
        <item x="214"/>
        <item x="714"/>
        <item x="137"/>
        <item x="254"/>
        <item x="512"/>
        <item x="336"/>
        <item x="477"/>
        <item x="608"/>
        <item x="197"/>
        <item x="8"/>
        <item x="558"/>
        <item x="661"/>
        <item x="307"/>
        <item x="69"/>
        <item x="617"/>
        <item x="382"/>
        <item x="157"/>
        <item x="519"/>
        <item x="366"/>
        <item x="252"/>
        <item x="580"/>
        <item x="600"/>
        <item x="177"/>
        <item x="598"/>
        <item x="624"/>
        <item x="529"/>
        <item x="468"/>
        <item x="32"/>
        <item x="88"/>
        <item x="341"/>
        <item x="725"/>
        <item x="170"/>
        <item x="392"/>
        <item x="40"/>
        <item x="124"/>
        <item x="471"/>
        <item x="90"/>
        <item x="338"/>
        <item x="574"/>
        <item x="127"/>
        <item x="429"/>
        <item x="472"/>
        <item x="202"/>
        <item x="597"/>
        <item x="36"/>
        <item x="469"/>
        <item x="73"/>
        <item x="615"/>
        <item x="50"/>
        <item x="181"/>
        <item x="589"/>
        <item x="139"/>
        <item x="160"/>
        <item x="367"/>
        <item x="33"/>
        <item x="166"/>
        <item x="438"/>
        <item x="499"/>
        <item x="451"/>
        <item x="639"/>
        <item x="627"/>
        <item x="216"/>
        <item x="304"/>
        <item x="393"/>
        <item x="66"/>
        <item x="179"/>
        <item x="582"/>
        <item x="148"/>
        <item x="403"/>
        <item x="517"/>
        <item x="483"/>
        <item x="110"/>
        <item x="333"/>
        <item x="379"/>
        <item x="641"/>
        <item x="150"/>
        <item x="593"/>
        <item x="145"/>
        <item x="687"/>
        <item x="524"/>
        <item x="328"/>
        <item x="215"/>
        <item x="299"/>
        <item x="165"/>
        <item x="334"/>
        <item x="101"/>
        <item x="281"/>
        <item x="445"/>
        <item x="703"/>
        <item x="681"/>
        <item x="343"/>
        <item x="699"/>
        <item x="283"/>
        <item x="53"/>
        <item x="433"/>
        <item x="569"/>
        <item x="508"/>
        <item x="58"/>
        <item x="642"/>
        <item x="276"/>
        <item x="354"/>
        <item x="555"/>
        <item x="164"/>
        <item x="231"/>
        <item x="314"/>
        <item x="116"/>
        <item x="87"/>
        <item x="412"/>
        <item x="11"/>
        <item x="54"/>
        <item x="295"/>
        <item x="432"/>
        <item x="573"/>
        <item x="362"/>
        <item x="592"/>
        <item x="656"/>
        <item x="176"/>
        <item x="305"/>
        <item x="284"/>
        <item x="361"/>
        <item x="383"/>
        <item x="107"/>
        <item x="84"/>
        <item x="369"/>
        <item x="415"/>
        <item x="453"/>
        <item x="85"/>
        <item x="402"/>
        <item x="715"/>
        <item x="554"/>
        <item x="560"/>
        <item x="425"/>
        <item x="103"/>
        <item x="491"/>
        <item x="83"/>
        <item x="711"/>
        <item x="702"/>
        <item x="2"/>
        <item x="317"/>
        <item x="484"/>
        <item x="251"/>
        <item x="584"/>
        <item x="550"/>
        <item x="82"/>
        <item x="437"/>
        <item x="289"/>
        <item x="455"/>
        <item x="325"/>
        <item x="350"/>
        <item x="587"/>
        <item x="91"/>
        <item x="520"/>
        <item x="273"/>
        <item x="293"/>
        <item x="575"/>
        <item x="196"/>
        <item x="98"/>
        <item x="151"/>
        <item x="306"/>
        <item x="487"/>
        <item x="373"/>
        <item x="100"/>
        <item x="272"/>
        <item x="342"/>
        <item x="263"/>
        <item x="720"/>
        <item x="510"/>
        <item x="458"/>
        <item x="298"/>
        <item x="68"/>
        <item x="186"/>
        <item x="42"/>
        <item x="565"/>
        <item x="408"/>
        <item x="154"/>
        <item x="553"/>
        <item x="358"/>
        <item x="503"/>
        <item x="561"/>
        <item x="19"/>
        <item x="316"/>
        <item t="default"/>
      </items>
    </pivotField>
  </pivotFields>
  <rowItems count="1">
    <i/>
  </rowItems>
  <colItems count="1">
    <i/>
  </colItems>
  <dataFields count="1">
    <dataField name="Average of Repeat Song Rate (%)" fld="11" subtotal="average" baseField="0" baseItem="0"/>
  </dataFields>
  <formats count="2">
    <format dxfId="33">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Played_Artist" xr10:uid="{B8A3B34F-0DF6-4330-97DE-8EC16EED02F7}" sourceName="Most Played Artist">
  <pivotTables>
    <pivotTable tabId="5" name="PivotTable22"/>
    <pivotTable tabId="6" name="PivotTable12"/>
    <pivotTable tabId="11" name="PivotTable15"/>
    <pivotTable tabId="20" name="PivotTable1"/>
    <pivotTable tabId="21" name="PivotTable2"/>
    <pivotTable tabId="22" name="PivotTable3"/>
    <pivotTable tabId="23" name="PivotTable4"/>
  </pivotTables>
  <data>
    <tabular pivotCacheId="626624890">
      <items count="5">
        <i x="4" s="1"/>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eat_Song_Rate" xr10:uid="{EEC716F8-904A-4297-9D47-2CDCB41D2DD1}" sourceName="Repeat Song Rate (%)">
  <pivotTables>
    <pivotTable tabId="5" name="PivotTable22"/>
    <pivotTable tabId="6" name="PivotTable12"/>
    <pivotTable tabId="11" name="PivotTable15"/>
    <pivotTable tabId="20" name="PivotTable1"/>
    <pivotTable tabId="21" name="PivotTable2"/>
    <pivotTable tabId="22" name="PivotTable3"/>
    <pivotTable tabId="23" name="PivotTable4"/>
  </pivotTables>
  <data>
    <tabular pivotCacheId="626624890">
      <items count="731">
        <i x="695" s="1"/>
        <i x="344" s="1"/>
        <i x="184" s="1"/>
        <i x="729" s="1"/>
        <i x="47" s="1"/>
        <i x="442" s="1"/>
        <i x="489" s="1"/>
        <i x="450" s="1"/>
        <i x="291" s="1"/>
        <i x="232" s="1"/>
        <i x="359" s="1"/>
        <i x="183" s="1"/>
        <i x="496" s="1"/>
        <i x="37" s="1"/>
        <i x="706" s="1"/>
        <i x="156" s="1"/>
        <i x="591" s="1"/>
        <i x="43" s="1"/>
        <i x="384" s="1"/>
        <i x="118" s="1"/>
        <i x="479" s="1"/>
        <i x="420" s="1"/>
        <i x="493" s="1"/>
        <i x="303" s="1"/>
        <i x="545" s="1"/>
        <i x="692" s="1"/>
        <i x="518" s="1"/>
        <i x="459" s="1"/>
        <i x="399" s="1"/>
        <i x="724" s="1"/>
        <i x="700" s="1"/>
        <i x="377" s="1"/>
        <i x="563" s="1"/>
        <i x="577" s="1"/>
        <i x="256" s="1"/>
        <i x="147" s="1"/>
        <i x="1" s="1"/>
        <i x="258" s="1"/>
        <i x="332" s="1"/>
        <i x="315" s="1"/>
        <i x="122" s="1"/>
        <i x="259" s="1"/>
        <i x="221" s="1"/>
        <i x="108" s="1"/>
        <i x="174" s="1"/>
        <i x="34" s="1"/>
        <i x="533" s="1"/>
        <i x="718" s="1"/>
        <i x="667" s="1"/>
        <i x="721" s="1"/>
        <i x="669" s="1"/>
        <i x="447" s="1"/>
        <i x="128" s="1"/>
        <i x="112" s="1"/>
        <i x="225" s="1"/>
        <i x="48" s="1"/>
        <i x="234" s="1"/>
        <i x="275" s="1"/>
        <i x="60" s="1"/>
        <i x="16" s="1"/>
        <i x="632" s="1"/>
        <i x="364" s="1"/>
        <i x="585" s="1"/>
        <i x="237" s="1"/>
        <i x="49" s="1"/>
        <i x="92" s="1"/>
        <i x="671" s="1"/>
        <i x="662" s="1"/>
        <i x="81" s="1"/>
        <i x="653" s="1"/>
        <i x="279" s="1"/>
        <i x="24" s="1"/>
        <i x="250" s="1"/>
        <i x="416" s="1"/>
        <i x="76" s="1"/>
        <i x="546" s="1"/>
        <i x="436" s="1"/>
        <i x="178" s="1"/>
        <i x="278" s="1"/>
        <i x="280" s="1"/>
        <i x="99" s="1"/>
        <i x="410" s="1"/>
        <i x="57" s="1"/>
        <i x="391" s="1"/>
        <i x="536" s="1"/>
        <i x="56" s="1"/>
        <i x="14" s="1"/>
        <i x="556" s="1"/>
        <i x="490" s="1"/>
        <i x="25" s="1"/>
        <i x="209" s="1"/>
        <i x="418" s="1"/>
        <i x="260" s="1"/>
        <i x="462" s="1"/>
        <i x="605" s="1"/>
        <i x="535" s="1"/>
        <i x="515" s="1"/>
        <i x="113" s="1"/>
        <i x="610" s="1"/>
        <i x="541" s="1"/>
        <i x="606" s="1"/>
        <i x="633" s="1"/>
        <i x="322" s="1"/>
        <i x="193" s="1"/>
        <i x="559" s="1"/>
        <i x="188" s="1"/>
        <i x="526" s="1"/>
        <i x="690" s="1"/>
        <i x="378" s="1"/>
        <i x="390" s="1"/>
        <i x="297" s="1"/>
        <i x="474" s="1"/>
        <i x="372" s="1"/>
        <i x="478" s="1"/>
        <i x="602" s="1"/>
        <i x="448" s="1"/>
        <i x="89" s="1"/>
        <i x="236" s="1"/>
        <i x="443" s="1"/>
        <i x="696" s="1"/>
        <i x="506" s="1"/>
        <i x="603" s="1"/>
        <i x="640" s="1"/>
        <i x="267" s="1"/>
        <i x="579" s="1"/>
        <i x="528" s="1"/>
        <i x="363" s="1"/>
        <i x="509" s="1"/>
        <i x="7" s="1"/>
        <i x="396" s="1"/>
        <i x="290" s="1"/>
        <i x="135" s="1"/>
        <i x="349" s="1"/>
        <i x="353" s="1"/>
        <i x="64" s="1"/>
        <i x="109" s="1"/>
        <i x="134" s="1"/>
        <i x="330" s="1"/>
        <i x="701" s="1"/>
        <i x="21" s="1"/>
        <i x="356" s="1"/>
        <i x="41" s="1"/>
        <i x="470" s="1"/>
        <i x="12" s="1"/>
        <i x="340" s="1"/>
        <i x="674" s="1"/>
        <i x="386" s="1"/>
        <i x="301" s="1"/>
        <i x="538" s="1"/>
        <i x="376" s="1"/>
        <i x="421" s="1"/>
        <i x="27" s="1"/>
        <i x="207" s="1"/>
        <i x="678" s="1"/>
        <i x="675" s="1"/>
        <i x="452" s="1"/>
        <i x="643" s="1"/>
        <i x="679" s="1"/>
        <i x="264" s="1"/>
        <i x="217" s="1"/>
        <i x="200" s="1"/>
        <i x="430" s="1"/>
        <i x="634" s="1"/>
        <i x="365" s="1"/>
        <i x="78" s="1"/>
        <i x="220" s="1"/>
        <i x="411" s="1"/>
        <i x="296" s="1"/>
        <i x="480" s="1"/>
        <i x="405" s="1"/>
        <i x="39" s="1"/>
        <i x="647" s="1"/>
        <i x="243" s="1"/>
        <i x="302" s="1"/>
        <i x="6" s="1"/>
        <i x="571" s="1"/>
        <i x="97" s="1"/>
        <i x="666" s="1"/>
        <i x="247" s="1"/>
        <i x="255" s="1"/>
        <i x="551" s="1"/>
        <i x="117" s="1"/>
        <i x="685" s="1"/>
        <i x="119" s="1"/>
        <i x="360" s="1"/>
        <i x="249" s="1"/>
        <i x="313" s="1"/>
        <i x="698" s="1"/>
        <i x="417" s="1"/>
        <i x="504" s="1"/>
        <i x="581" s="1"/>
        <i x="466" s="1"/>
        <i x="63" s="1"/>
        <i x="389" s="1"/>
        <i x="312" s="1"/>
        <i x="368" s="1"/>
        <i x="355" s="1"/>
        <i x="77" s="1"/>
        <i x="583" s="1"/>
        <i x="114" s="1"/>
        <i x="467" s="1"/>
        <i x="413" s="1"/>
        <i x="26" s="1"/>
        <i x="262" s="1"/>
        <i x="663" s="1"/>
        <i x="719" s="1"/>
        <i x="564" s="1"/>
        <i x="185" s="1"/>
        <i x="142" s="1"/>
        <i x="240" s="1"/>
        <i x="590" s="1"/>
        <i x="270" s="1"/>
        <i x="347" s="1"/>
        <i x="274" s="1"/>
        <i x="473" s="1"/>
        <i x="324" s="1"/>
        <i x="269" s="1"/>
        <i x="449" s="1"/>
        <i x="168" s="1"/>
        <i x="23" s="1"/>
        <i x="431" s="1"/>
        <i x="599" s="1"/>
        <i x="705" s="1"/>
        <i x="562" s="1"/>
        <i x="129" s="1"/>
        <i x="62" s="1"/>
        <i x="659" s="1"/>
        <i x="460" s="1"/>
        <i x="646" s="1"/>
        <i x="434" s="1"/>
        <i x="235" s="1"/>
        <i x="292" s="1"/>
        <i x="614" s="1"/>
        <i x="126" s="1"/>
        <i x="387" s="1"/>
        <i x="576" s="1"/>
        <i x="319" s="1"/>
        <i x="523" s="1"/>
        <i x="239" s="1"/>
        <i x="607" s="1"/>
        <i x="612" s="1"/>
        <i x="654" s="1"/>
        <i x="482" s="1"/>
        <i x="475" s="1"/>
        <i x="219" s="1"/>
        <i x="123" s="1"/>
        <i x="70" s="1"/>
        <i x="261" s="1"/>
        <i x="67" s="1"/>
        <i x="233" s="1"/>
        <i x="409" s="1"/>
        <i x="140" s="1"/>
        <i x="682" s="1"/>
        <i x="329" s="1"/>
        <i x="630" s="1"/>
        <i x="210" s="1"/>
        <i x="282" s="1"/>
        <i x="406" s="1"/>
        <i x="716" s="1"/>
        <i x="717" s="1"/>
        <i x="125" s="1"/>
        <i x="604" s="1"/>
        <i x="710" s="1"/>
        <i x="180" s="1"/>
        <i x="28" s="1"/>
        <i x="191" s="1"/>
        <i x="660" s="1"/>
        <i x="530" s="1"/>
        <i x="394" s="1"/>
        <i x="187" s="1"/>
        <i x="46" s="1"/>
        <i x="712" s="1"/>
        <i x="309" s="1"/>
        <i x="17" s="1"/>
        <i x="104" s="1"/>
        <i x="594" s="1"/>
        <i x="463" s="1"/>
        <i x="423" s="1"/>
        <i x="404" s="1"/>
        <i x="96" s="1"/>
        <i x="665" s="1"/>
        <i x="71" s="1"/>
        <i x="146" s="1"/>
        <i x="534" s="1"/>
        <i x="723" s="1"/>
        <i x="537" s="1"/>
        <i x="192" s="1"/>
        <i x="626" s="1"/>
        <i x="226" s="1"/>
        <i x="287" s="1"/>
        <i x="20" s="1"/>
        <i x="422" s="1"/>
        <i x="242" s="1"/>
        <i x="395" s="1"/>
        <i x="655" s="1"/>
        <i x="131" s="1"/>
        <i x="102" s="1"/>
        <i x="230" s="1"/>
        <i x="18" s="1"/>
        <i x="652" s="1"/>
        <i x="709" s="1"/>
        <i x="697" s="1"/>
        <i x="286" s="1"/>
        <i x="398" s="1"/>
        <i x="346" s="1"/>
        <i x="285" s="1"/>
        <i x="631" s="1"/>
        <i x="625" s="1"/>
        <i x="707" s="1"/>
        <i x="401" s="1"/>
        <i x="501" s="1"/>
        <i x="130" s="1"/>
        <i x="152" s="1"/>
        <i x="277" s="1"/>
        <i x="507" s="1"/>
        <i x="132" s="1"/>
        <i x="204" s="1"/>
        <i x="337" s="1"/>
        <i x="141" s="1"/>
        <i x="29" s="1"/>
        <i x="224" s="1"/>
        <i x="693" s="1"/>
        <i x="670" s="1"/>
        <i x="694" s="1"/>
        <i x="621" s="1"/>
        <i x="161" s="1"/>
        <i x="158" s="1"/>
        <i x="454" s="1"/>
        <i x="229" s="1"/>
        <i x="357" s="1"/>
        <i x="345" s="1"/>
        <i x="388" s="1"/>
        <i x="514" s="1"/>
        <i x="44" s="1"/>
        <i x="680" s="1"/>
        <i x="0" s="1"/>
        <i x="620" s="1"/>
        <i x="713" s="1"/>
        <i x="153" s="1"/>
        <i x="691" s="1"/>
        <i x="175" s="1"/>
        <i x="521" s="1"/>
        <i x="684" s="1"/>
        <i x="95" s="1"/>
        <i x="494" s="1"/>
        <i x="645" s="1"/>
        <i x="212" s="1"/>
        <i x="194" s="1"/>
        <i x="522" s="1"/>
        <i x="635" s="1"/>
        <i x="227" s="1"/>
        <i x="722" s="1"/>
        <i x="649" s="1"/>
        <i x="616" s="1"/>
        <i x="271" s="1"/>
        <i x="629" s="1"/>
        <i x="464" s="1"/>
        <i x="120" s="1"/>
        <i x="544" s="1"/>
        <i x="397" s="1"/>
        <i x="245" s="1"/>
        <i x="335" s="1"/>
        <i x="266" s="1"/>
        <i x="728" s="1"/>
        <i x="552" s="1"/>
        <i x="683" s="1"/>
        <i x="457" s="1"/>
        <i x="138" s="1"/>
        <i x="169" s="1"/>
        <i x="136" s="1"/>
        <i x="149" s="1"/>
        <i x="257" s="1"/>
        <i x="618" s="1"/>
        <i x="638" s="1"/>
        <i x="61" s="1"/>
        <i x="495" s="1"/>
        <i x="31" s="1"/>
        <i x="163" s="1"/>
        <i x="548" s="1"/>
        <i x="547" s="1"/>
        <i x="609" s="1"/>
        <i x="93" s="1"/>
        <i x="628" s="1"/>
        <i x="588" s="1"/>
        <i x="440" s="1"/>
        <i x="688" s="1"/>
        <i x="622" s="1"/>
        <i x="668" s="1"/>
        <i x="644" s="1"/>
        <i x="527" s="1"/>
        <i x="51" s="1"/>
        <i x="205" s="1"/>
        <i x="79" s="1"/>
        <i x="213" s="1"/>
        <i x="352" s="1"/>
        <i x="441" s="1"/>
        <i x="476" s="1"/>
        <i x="106" s="1"/>
        <i x="488" s="1"/>
        <i x="327" s="1"/>
        <i x="223" s="1"/>
        <i x="52" s="1"/>
        <i x="461" s="1"/>
        <i x="586" s="1"/>
        <i x="199" s="1"/>
        <i x="595" s="1"/>
        <i x="568" s="1"/>
        <i x="596" s="1"/>
        <i x="481" s="1"/>
        <i x="172" s="1"/>
        <i x="3" s="1"/>
        <i x="9" s="1"/>
        <i x="74" s="1"/>
        <i x="424" s="1"/>
        <i x="375" s="1"/>
        <i x="371" s="1"/>
        <i x="189" s="1"/>
        <i x="613" s="1"/>
        <i x="159" s="1"/>
        <i x="133" s="1"/>
        <i x="444" s="1"/>
        <i x="94" s="1"/>
        <i x="539" s="1"/>
        <i x="173" s="1"/>
        <i x="105" s="1"/>
        <i x="380" s="1"/>
        <i x="672" s="1"/>
        <i x="228" s="1"/>
        <i x="201" s="1"/>
        <i x="407" s="1"/>
        <i x="244" s="1"/>
        <i x="727" s="1"/>
        <i x="253" s="1"/>
        <i x="651" s="1"/>
        <i x="167" s="1"/>
        <i x="374" s="1"/>
        <i x="601" s="1"/>
        <i x="115" s="1"/>
        <i x="531" s="1"/>
        <i x="300" s="1"/>
        <i x="323" s="1"/>
        <i x="326" s="1"/>
        <i x="248" s="1"/>
        <i x="22" s="1"/>
        <i x="428" s="1"/>
        <i x="294" s="1"/>
        <i x="195" s="1"/>
        <i x="265" s="1"/>
        <i x="543" s="1"/>
        <i x="190" s="1"/>
        <i x="121" s="1"/>
        <i x="486" s="1"/>
        <i x="370" s="1"/>
        <i x="658" s="1"/>
        <i x="511" s="1"/>
        <i x="144" s="1"/>
        <i x="532" s="1"/>
        <i x="238" s="1"/>
        <i x="72" s="1"/>
        <i x="211" s="1"/>
        <i x="726" s="1"/>
        <i x="500" s="1"/>
        <i x="570" s="1"/>
        <i x="637" s="1"/>
        <i x="708" s="1"/>
        <i x="502" s="1"/>
        <i x="45" s="1"/>
        <i x="86" s="1"/>
        <i x="623" s="1"/>
        <i x="246" s="1"/>
        <i x="572" s="1"/>
        <i x="310" s="1"/>
        <i x="339" s="1"/>
        <i x="426" s="1"/>
        <i x="171" s="1"/>
        <i x="203" s="1"/>
        <i x="4" s="1"/>
        <i x="182" s="1"/>
        <i x="198" s="1"/>
        <i x="673" s="1"/>
        <i x="35" s="1"/>
        <i x="566" s="1"/>
        <i x="676" s="1"/>
        <i x="351" s="1"/>
        <i x="162" s="1"/>
        <i x="385" s="1"/>
        <i x="498" s="1"/>
        <i x="15" s="1"/>
        <i x="206" s="1"/>
        <i x="5" s="1"/>
        <i x="30" s="1"/>
        <i x="13" s="1"/>
        <i x="557" s="1"/>
        <i x="611" s="1"/>
        <i x="677" s="1"/>
        <i x="208" s="1"/>
        <i x="516" s="1"/>
        <i x="427" s="1"/>
        <i x="446" s="1"/>
        <i x="308" s="1"/>
        <i x="419" s="1"/>
        <i x="311" s="1"/>
        <i x="65" s="1"/>
        <i x="657" s="1"/>
        <i x="704" s="1"/>
        <i x="55" s="1"/>
        <i x="664" s="1"/>
        <i x="320" s="1"/>
        <i x="497" s="1"/>
        <i x="525" s="1"/>
        <i x="578" s="1"/>
        <i x="542" s="1"/>
        <i x="465" s="1"/>
        <i x="513" s="1"/>
        <i x="268" s="1"/>
        <i x="540" s="1"/>
        <i x="485" s="1"/>
        <i x="686" s="1"/>
        <i x="75" s="1"/>
        <i x="80" s="1"/>
        <i x="218" s="1"/>
        <i x="549" s="1"/>
        <i x="650" s="1"/>
        <i x="730" s="1"/>
        <i x="155" s="1"/>
        <i x="619" s="1"/>
        <i x="222" s="1"/>
        <i x="38" s="1"/>
        <i x="400" s="1"/>
        <i x="414" s="1"/>
        <i x="381" s="1"/>
        <i x="567" s="1"/>
        <i x="241" s="1"/>
        <i x="143" s="1"/>
        <i x="505" s="1"/>
        <i x="689" s="1"/>
        <i x="331" s="1"/>
        <i x="636" s="1"/>
        <i x="435" s="1"/>
        <i x="456" s="1"/>
        <i x="321" s="1"/>
        <i x="10" s="1"/>
        <i x="439" s="1"/>
        <i x="59" s="1"/>
        <i x="288" s="1"/>
        <i x="348" s="1"/>
        <i x="318" s="1"/>
        <i x="492" s="1"/>
        <i x="111" s="1"/>
        <i x="648" s="1"/>
        <i x="214" s="1"/>
        <i x="714" s="1"/>
        <i x="137" s="1"/>
        <i x="254" s="1"/>
        <i x="512" s="1"/>
        <i x="336" s="1"/>
        <i x="477" s="1"/>
        <i x="608" s="1"/>
        <i x="197" s="1"/>
        <i x="8" s="1"/>
        <i x="558" s="1"/>
        <i x="661" s="1"/>
        <i x="307" s="1"/>
        <i x="69" s="1"/>
        <i x="617" s="1"/>
        <i x="382" s="1"/>
        <i x="157" s="1"/>
        <i x="519" s="1"/>
        <i x="366" s="1"/>
        <i x="252" s="1"/>
        <i x="580" s="1"/>
        <i x="600" s="1"/>
        <i x="177" s="1"/>
        <i x="598" s="1"/>
        <i x="624" s="1"/>
        <i x="529" s="1"/>
        <i x="468" s="1"/>
        <i x="32" s="1"/>
        <i x="88" s="1"/>
        <i x="341" s="1"/>
        <i x="725" s="1"/>
        <i x="170" s="1"/>
        <i x="392" s="1"/>
        <i x="40" s="1"/>
        <i x="124" s="1"/>
        <i x="471" s="1"/>
        <i x="90" s="1"/>
        <i x="338" s="1"/>
        <i x="574" s="1"/>
        <i x="127" s="1"/>
        <i x="429" s="1"/>
        <i x="472" s="1"/>
        <i x="202" s="1"/>
        <i x="597" s="1"/>
        <i x="36" s="1"/>
        <i x="469" s="1"/>
        <i x="73" s="1"/>
        <i x="615" s="1"/>
        <i x="50" s="1"/>
        <i x="181" s="1"/>
        <i x="589" s="1"/>
        <i x="139" s="1"/>
        <i x="160" s="1"/>
        <i x="367" s="1"/>
        <i x="33" s="1"/>
        <i x="166" s="1"/>
        <i x="438" s="1"/>
        <i x="499" s="1"/>
        <i x="451" s="1"/>
        <i x="639" s="1"/>
        <i x="627" s="1"/>
        <i x="216" s="1"/>
        <i x="304" s="1"/>
        <i x="393" s="1"/>
        <i x="66" s="1"/>
        <i x="179" s="1"/>
        <i x="582" s="1"/>
        <i x="148" s="1"/>
        <i x="403" s="1"/>
        <i x="517" s="1"/>
        <i x="483" s="1"/>
        <i x="110" s="1"/>
        <i x="333" s="1"/>
        <i x="379" s="1"/>
        <i x="641" s="1"/>
        <i x="150" s="1"/>
        <i x="593" s="1"/>
        <i x="145" s="1"/>
        <i x="687" s="1"/>
        <i x="524" s="1"/>
        <i x="328" s="1"/>
        <i x="215" s="1"/>
        <i x="299" s="1"/>
        <i x="165" s="1"/>
        <i x="334" s="1"/>
        <i x="101" s="1"/>
        <i x="281" s="1"/>
        <i x="445" s="1"/>
        <i x="703" s="1"/>
        <i x="681" s="1"/>
        <i x="343" s="1"/>
        <i x="699" s="1"/>
        <i x="283" s="1"/>
        <i x="53" s="1"/>
        <i x="433" s="1"/>
        <i x="569" s="1"/>
        <i x="508" s="1"/>
        <i x="58" s="1"/>
        <i x="642" s="1"/>
        <i x="276" s="1"/>
        <i x="354" s="1"/>
        <i x="555" s="1"/>
        <i x="164" s="1"/>
        <i x="231" s="1"/>
        <i x="314" s="1"/>
        <i x="116" s="1"/>
        <i x="87" s="1"/>
        <i x="412" s="1"/>
        <i x="11" s="1"/>
        <i x="54" s="1"/>
        <i x="295" s="1"/>
        <i x="432" s="1"/>
        <i x="573" s="1"/>
        <i x="362" s="1"/>
        <i x="592" s="1"/>
        <i x="656" s="1"/>
        <i x="176" s="1"/>
        <i x="305" s="1"/>
        <i x="284" s="1"/>
        <i x="361" s="1"/>
        <i x="383" s="1"/>
        <i x="107" s="1"/>
        <i x="84" s="1"/>
        <i x="369" s="1"/>
        <i x="415" s="1"/>
        <i x="453" s="1"/>
        <i x="85" s="1"/>
        <i x="402" s="1"/>
        <i x="715" s="1"/>
        <i x="554" s="1"/>
        <i x="560" s="1"/>
        <i x="425" s="1"/>
        <i x="103" s="1"/>
        <i x="491" s="1"/>
        <i x="83" s="1"/>
        <i x="711" s="1"/>
        <i x="702" s="1"/>
        <i x="2" s="1"/>
        <i x="317" s="1"/>
        <i x="484" s="1"/>
        <i x="251" s="1"/>
        <i x="584" s="1"/>
        <i x="550" s="1"/>
        <i x="82" s="1"/>
        <i x="437" s="1"/>
        <i x="289" s="1"/>
        <i x="455" s="1"/>
        <i x="325" s="1"/>
        <i x="350" s="1"/>
        <i x="587" s="1"/>
        <i x="91" s="1"/>
        <i x="520" s="1"/>
        <i x="273" s="1"/>
        <i x="293" s="1"/>
        <i x="575" s="1"/>
        <i x="196" s="1"/>
        <i x="98" s="1"/>
        <i x="151" s="1"/>
        <i x="306" s="1"/>
        <i x="487" s="1"/>
        <i x="373" s="1"/>
        <i x="100" s="1"/>
        <i x="272" s="1"/>
        <i x="342" s="1"/>
        <i x="263" s="1"/>
        <i x="720" s="1"/>
        <i x="510" s="1"/>
        <i x="458" s="1"/>
        <i x="298" s="1"/>
        <i x="68" s="1"/>
        <i x="186" s="1"/>
        <i x="42" s="1"/>
        <i x="565" s="1"/>
        <i x="408" s="1"/>
        <i x="154" s="1"/>
        <i x="553" s="1"/>
        <i x="358" s="1"/>
        <i x="503" s="1"/>
        <i x="561" s="1"/>
        <i x="19" s="1"/>
        <i x="3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st Played Artist" xr10:uid="{A3209008-D118-4245-9BB3-EB0429EBA623}" cache="Slicer_Most_Played_Artist" caption="Most Played Artist" rowHeight="247650"/>
  <slicer name="Repeat Song Rate (%) 1" xr10:uid="{E0885FC2-9A04-4B78-9678-6EDD685CA6A2}" cache="Slicer_Repeat_Song_Rate" caption="Repeat Song Rate (%)"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EB2B-D4F8-42D9-8339-7651B533AECE}">
  <dimension ref="A1:L763"/>
  <sheetViews>
    <sheetView workbookViewId="0">
      <selection activeCell="G7" sqref="G7"/>
    </sheetView>
  </sheetViews>
  <sheetFormatPr defaultRowHeight="14.4" x14ac:dyDescent="0.3"/>
  <cols>
    <col min="1" max="1" width="8.109375" bestFit="1" customWidth="1"/>
    <col min="2" max="2" width="4.33203125" bestFit="1" customWidth="1"/>
    <col min="3" max="3" width="12.21875" bestFit="1" customWidth="1"/>
    <col min="4" max="4" width="19" bestFit="1" customWidth="1"/>
    <col min="5" max="5" width="10.44140625" bestFit="1" customWidth="1"/>
    <col min="6" max="6" width="25.88671875" bestFit="1" customWidth="1"/>
    <col min="7" max="7" width="22.5546875" bestFit="1" customWidth="1"/>
    <col min="8" max="8" width="17.6640625" bestFit="1" customWidth="1"/>
    <col min="9" max="9" width="17.88671875" bestFit="1" customWidth="1"/>
    <col min="10" max="10" width="39.88671875" bestFit="1" customWidth="1"/>
    <col min="11" max="11" width="32.109375" bestFit="1" customWidth="1"/>
    <col min="12" max="12" width="20.6640625" bestFit="1" customWidth="1"/>
  </cols>
  <sheetData>
    <row r="1" spans="1:12" ht="15.6" x14ac:dyDescent="0.3">
      <c r="A1" s="1" t="s">
        <v>0</v>
      </c>
      <c r="B1" s="1" t="s">
        <v>1</v>
      </c>
      <c r="C1" s="1" t="s">
        <v>2</v>
      </c>
      <c r="D1" s="1" t="s">
        <v>3</v>
      </c>
      <c r="E1" s="1" t="s">
        <v>4</v>
      </c>
      <c r="F1" s="1" t="s">
        <v>5</v>
      </c>
      <c r="G1" s="1" t="s">
        <v>6</v>
      </c>
      <c r="H1" s="1" t="s">
        <v>7</v>
      </c>
      <c r="I1" s="1" t="s">
        <v>8</v>
      </c>
      <c r="J1" s="1" t="s">
        <v>9</v>
      </c>
      <c r="K1" s="1" t="s">
        <v>10</v>
      </c>
      <c r="L1" s="1" t="s">
        <v>11</v>
      </c>
    </row>
    <row r="2" spans="1:12" ht="15.6" x14ac:dyDescent="0.3">
      <c r="A2" s="1" t="s">
        <v>12</v>
      </c>
      <c r="B2" s="1">
        <v>49</v>
      </c>
      <c r="C2" s="1" t="s">
        <v>13</v>
      </c>
      <c r="D2" s="1" t="s">
        <v>14</v>
      </c>
      <c r="E2" s="1" t="s">
        <v>2</v>
      </c>
      <c r="F2" s="1">
        <v>547</v>
      </c>
      <c r="G2" s="1">
        <v>70</v>
      </c>
      <c r="H2" s="1" t="s">
        <v>15</v>
      </c>
      <c r="I2" s="1" t="s">
        <v>16</v>
      </c>
      <c r="J2" s="1" t="s">
        <v>17</v>
      </c>
      <c r="K2" s="1">
        <v>11.92</v>
      </c>
      <c r="L2" s="1">
        <v>37.75</v>
      </c>
    </row>
    <row r="3" spans="1:12" ht="15.6" x14ac:dyDescent="0.3">
      <c r="A3" s="1" t="s">
        <v>18</v>
      </c>
      <c r="B3" s="1">
        <v>40</v>
      </c>
      <c r="C3" s="1" t="s">
        <v>19</v>
      </c>
      <c r="D3" s="1" t="s">
        <v>20</v>
      </c>
      <c r="E3" s="1" t="s">
        <v>21</v>
      </c>
      <c r="F3" s="1">
        <v>266</v>
      </c>
      <c r="G3" s="1">
        <v>462</v>
      </c>
      <c r="H3" s="1" t="s">
        <v>22</v>
      </c>
      <c r="I3" s="1" t="s">
        <v>23</v>
      </c>
      <c r="J3" s="1" t="s">
        <v>24</v>
      </c>
      <c r="K3" s="1">
        <v>87.77</v>
      </c>
      <c r="L3" s="1">
        <v>8.73</v>
      </c>
    </row>
    <row r="4" spans="1:12" ht="15.6" x14ac:dyDescent="0.3">
      <c r="A4" s="1" t="s">
        <v>25</v>
      </c>
      <c r="B4" s="1">
        <v>53</v>
      </c>
      <c r="C4" s="1" t="s">
        <v>26</v>
      </c>
      <c r="D4" s="1" t="s">
        <v>27</v>
      </c>
      <c r="E4" s="1" t="s">
        <v>21</v>
      </c>
      <c r="F4" s="1">
        <v>478</v>
      </c>
      <c r="G4" s="1">
        <v>300</v>
      </c>
      <c r="H4" s="1" t="s">
        <v>22</v>
      </c>
      <c r="I4" s="1" t="s">
        <v>16</v>
      </c>
      <c r="J4" s="1" t="s">
        <v>24</v>
      </c>
      <c r="K4" s="1">
        <v>88.44</v>
      </c>
      <c r="L4" s="1">
        <v>75.12</v>
      </c>
    </row>
    <row r="5" spans="1:12" ht="15.6" x14ac:dyDescent="0.3">
      <c r="A5" s="1" t="s">
        <v>28</v>
      </c>
      <c r="B5" s="1">
        <v>42</v>
      </c>
      <c r="C5" s="1" t="s">
        <v>29</v>
      </c>
      <c r="D5" s="1" t="s">
        <v>30</v>
      </c>
      <c r="E5" s="1" t="s">
        <v>31</v>
      </c>
      <c r="F5" s="1">
        <v>404</v>
      </c>
      <c r="G5" s="1">
        <v>464</v>
      </c>
      <c r="H5" s="1" t="s">
        <v>32</v>
      </c>
      <c r="I5" s="1" t="s">
        <v>23</v>
      </c>
      <c r="J5" s="1" t="s">
        <v>24</v>
      </c>
      <c r="K5" s="1">
        <v>27.4</v>
      </c>
      <c r="L5" s="1">
        <v>45.91</v>
      </c>
    </row>
    <row r="6" spans="1:12" ht="15.6" x14ac:dyDescent="0.3">
      <c r="A6" s="1" t="s">
        <v>33</v>
      </c>
      <c r="B6" s="1">
        <v>30</v>
      </c>
      <c r="C6" s="1" t="s">
        <v>34</v>
      </c>
      <c r="D6" s="1" t="s">
        <v>35</v>
      </c>
      <c r="E6" s="1" t="s">
        <v>36</v>
      </c>
      <c r="F6" s="1">
        <v>67</v>
      </c>
      <c r="G6" s="1">
        <v>191</v>
      </c>
      <c r="H6" s="1" t="s">
        <v>37</v>
      </c>
      <c r="I6" s="1" t="s">
        <v>16</v>
      </c>
      <c r="J6" s="1" t="s">
        <v>38</v>
      </c>
      <c r="K6" s="1">
        <v>85</v>
      </c>
      <c r="L6" s="1">
        <v>53.98</v>
      </c>
    </row>
    <row r="7" spans="1:12" ht="15.6" x14ac:dyDescent="0.3">
      <c r="A7" s="1" t="s">
        <v>39</v>
      </c>
      <c r="B7" s="1">
        <v>60</v>
      </c>
      <c r="C7" s="1" t="s">
        <v>26</v>
      </c>
      <c r="D7" s="1" t="s">
        <v>27</v>
      </c>
      <c r="E7" s="1" t="s">
        <v>40</v>
      </c>
      <c r="F7" s="1">
        <v>262</v>
      </c>
      <c r="G7" s="1">
        <v>301</v>
      </c>
      <c r="H7" s="1" t="s">
        <v>37</v>
      </c>
      <c r="I7" s="1" t="s">
        <v>16</v>
      </c>
      <c r="J7" s="1" t="s">
        <v>38</v>
      </c>
      <c r="K7" s="1">
        <v>35.53</v>
      </c>
      <c r="L7" s="1">
        <v>55.35</v>
      </c>
    </row>
    <row r="8" spans="1:12" ht="15.6" x14ac:dyDescent="0.3">
      <c r="A8" s="1" t="s">
        <v>41</v>
      </c>
      <c r="B8" s="1">
        <v>26</v>
      </c>
      <c r="C8" s="1" t="s">
        <v>19</v>
      </c>
      <c r="D8" s="1" t="s">
        <v>14</v>
      </c>
      <c r="E8" s="1" t="s">
        <v>31</v>
      </c>
      <c r="F8" s="1">
        <v>316</v>
      </c>
      <c r="G8" s="1">
        <v>451</v>
      </c>
      <c r="H8" s="1" t="s">
        <v>15</v>
      </c>
      <c r="I8" s="1" t="s">
        <v>23</v>
      </c>
      <c r="J8" s="1" t="s">
        <v>17</v>
      </c>
      <c r="K8" s="1">
        <v>32.01</v>
      </c>
      <c r="L8" s="1">
        <v>23.09</v>
      </c>
    </row>
    <row r="9" spans="1:12" ht="15.6" x14ac:dyDescent="0.3">
      <c r="A9" s="1" t="s">
        <v>42</v>
      </c>
      <c r="B9" s="1">
        <v>34</v>
      </c>
      <c r="C9" s="1" t="s">
        <v>34</v>
      </c>
      <c r="D9" s="1" t="s">
        <v>30</v>
      </c>
      <c r="E9" s="1" t="s">
        <v>2</v>
      </c>
      <c r="F9" s="1">
        <v>530</v>
      </c>
      <c r="G9" s="1">
        <v>310</v>
      </c>
      <c r="H9" s="1" t="s">
        <v>32</v>
      </c>
      <c r="I9" s="1" t="s">
        <v>16</v>
      </c>
      <c r="J9" s="1" t="s">
        <v>24</v>
      </c>
      <c r="K9" s="1">
        <v>33.21</v>
      </c>
      <c r="L9" s="1">
        <v>18.579999999999998</v>
      </c>
    </row>
    <row r="10" spans="1:12" ht="15.6" x14ac:dyDescent="0.3">
      <c r="A10" s="1" t="s">
        <v>43</v>
      </c>
      <c r="B10" s="1">
        <v>18</v>
      </c>
      <c r="C10" s="1" t="s">
        <v>26</v>
      </c>
      <c r="D10" s="1" t="s">
        <v>14</v>
      </c>
      <c r="E10" s="1" t="s">
        <v>36</v>
      </c>
      <c r="F10" s="1">
        <v>435</v>
      </c>
      <c r="G10" s="1">
        <v>165</v>
      </c>
      <c r="H10" s="1" t="s">
        <v>37</v>
      </c>
      <c r="I10" s="1" t="s">
        <v>16</v>
      </c>
      <c r="J10" s="1" t="s">
        <v>24</v>
      </c>
      <c r="K10" s="1">
        <v>24.8</v>
      </c>
      <c r="L10" s="1">
        <v>62.1</v>
      </c>
    </row>
    <row r="11" spans="1:12" ht="15.6" x14ac:dyDescent="0.3">
      <c r="A11" s="1" t="s">
        <v>44</v>
      </c>
      <c r="B11" s="1">
        <v>14</v>
      </c>
      <c r="C11" s="1" t="s">
        <v>13</v>
      </c>
      <c r="D11" s="1" t="s">
        <v>30</v>
      </c>
      <c r="E11" s="1" t="s">
        <v>45</v>
      </c>
      <c r="F11" s="1">
        <v>364</v>
      </c>
      <c r="G11" s="1">
        <v>171</v>
      </c>
      <c r="H11" s="1" t="s">
        <v>32</v>
      </c>
      <c r="I11" s="1" t="s">
        <v>23</v>
      </c>
      <c r="J11" s="1" t="s">
        <v>17</v>
      </c>
      <c r="K11" s="1">
        <v>11.74</v>
      </c>
      <c r="L11" s="1">
        <v>46.14</v>
      </c>
    </row>
    <row r="12" spans="1:12" ht="15.6" x14ac:dyDescent="0.3">
      <c r="A12" s="1" t="s">
        <v>46</v>
      </c>
      <c r="B12" s="1">
        <v>40</v>
      </c>
      <c r="C12" s="1" t="s">
        <v>29</v>
      </c>
      <c r="D12" s="1" t="s">
        <v>14</v>
      </c>
      <c r="E12" s="1" t="s">
        <v>2</v>
      </c>
      <c r="F12" s="1">
        <v>88</v>
      </c>
      <c r="G12" s="1">
        <v>153</v>
      </c>
      <c r="H12" s="1" t="s">
        <v>22</v>
      </c>
      <c r="I12" s="1" t="s">
        <v>23</v>
      </c>
      <c r="J12" s="1" t="s">
        <v>17</v>
      </c>
      <c r="K12" s="1">
        <v>53.63</v>
      </c>
      <c r="L12" s="1">
        <v>60.28</v>
      </c>
    </row>
    <row r="13" spans="1:12" ht="15.6" x14ac:dyDescent="0.3">
      <c r="A13" s="1" t="s">
        <v>47</v>
      </c>
      <c r="B13" s="1">
        <v>13</v>
      </c>
      <c r="C13" s="1" t="s">
        <v>13</v>
      </c>
      <c r="D13" s="1" t="s">
        <v>35</v>
      </c>
      <c r="E13" s="1" t="s">
        <v>2</v>
      </c>
      <c r="F13" s="1">
        <v>31</v>
      </c>
      <c r="G13" s="1">
        <v>354</v>
      </c>
      <c r="H13" s="1" t="s">
        <v>48</v>
      </c>
      <c r="I13" s="1" t="s">
        <v>16</v>
      </c>
      <c r="J13" s="1" t="s">
        <v>38</v>
      </c>
      <c r="K13" s="1">
        <v>25.42</v>
      </c>
      <c r="L13" s="1">
        <v>72.64</v>
      </c>
    </row>
    <row r="14" spans="1:12" ht="15.6" x14ac:dyDescent="0.3">
      <c r="A14" s="1" t="s">
        <v>49</v>
      </c>
      <c r="B14" s="1">
        <v>23</v>
      </c>
      <c r="C14" s="1" t="s">
        <v>13</v>
      </c>
      <c r="D14" s="1" t="s">
        <v>50</v>
      </c>
      <c r="E14" s="1" t="s">
        <v>45</v>
      </c>
      <c r="F14" s="1">
        <v>311</v>
      </c>
      <c r="G14" s="1">
        <v>419</v>
      </c>
      <c r="H14" s="1" t="s">
        <v>22</v>
      </c>
      <c r="I14" s="1" t="s">
        <v>16</v>
      </c>
      <c r="J14" s="1" t="s">
        <v>17</v>
      </c>
      <c r="K14" s="1">
        <v>19.66</v>
      </c>
      <c r="L14" s="1">
        <v>20.12</v>
      </c>
    </row>
    <row r="15" spans="1:12" ht="15.6" x14ac:dyDescent="0.3">
      <c r="A15" s="1" t="s">
        <v>51</v>
      </c>
      <c r="B15" s="1">
        <v>46</v>
      </c>
      <c r="C15" s="1" t="s">
        <v>19</v>
      </c>
      <c r="D15" s="1" t="s">
        <v>50</v>
      </c>
      <c r="E15" s="1" t="s">
        <v>31</v>
      </c>
      <c r="F15" s="1">
        <v>11</v>
      </c>
      <c r="G15" s="1">
        <v>102</v>
      </c>
      <c r="H15" s="1" t="s">
        <v>15</v>
      </c>
      <c r="I15" s="1" t="s">
        <v>16</v>
      </c>
      <c r="J15" s="1" t="s">
        <v>17</v>
      </c>
      <c r="K15" s="1">
        <v>43.81</v>
      </c>
      <c r="L15" s="1">
        <v>55.65</v>
      </c>
    </row>
    <row r="16" spans="1:12" ht="15.6" x14ac:dyDescent="0.3">
      <c r="A16" s="1" t="s">
        <v>52</v>
      </c>
      <c r="B16" s="1">
        <v>59</v>
      </c>
      <c r="C16" s="1" t="s">
        <v>26</v>
      </c>
      <c r="D16" s="1" t="s">
        <v>14</v>
      </c>
      <c r="E16" s="1" t="s">
        <v>45</v>
      </c>
      <c r="F16" s="1">
        <v>476</v>
      </c>
      <c r="G16" s="1">
        <v>198</v>
      </c>
      <c r="H16" s="1" t="s">
        <v>32</v>
      </c>
      <c r="I16" s="1" t="s">
        <v>16</v>
      </c>
      <c r="J16" s="1" t="s">
        <v>38</v>
      </c>
      <c r="K16" s="1">
        <v>58.36</v>
      </c>
      <c r="L16" s="1">
        <v>13.84</v>
      </c>
    </row>
    <row r="17" spans="1:12" ht="15.6" x14ac:dyDescent="0.3">
      <c r="A17" s="1" t="s">
        <v>53</v>
      </c>
      <c r="B17" s="1">
        <v>20</v>
      </c>
      <c r="C17" s="1" t="s">
        <v>29</v>
      </c>
      <c r="D17" s="1" t="s">
        <v>20</v>
      </c>
      <c r="E17" s="1" t="s">
        <v>40</v>
      </c>
      <c r="F17" s="1">
        <v>144</v>
      </c>
      <c r="G17" s="1">
        <v>274</v>
      </c>
      <c r="H17" s="1" t="s">
        <v>15</v>
      </c>
      <c r="I17" s="1" t="s">
        <v>23</v>
      </c>
      <c r="J17" s="1" t="s">
        <v>24</v>
      </c>
      <c r="K17" s="1">
        <v>45.38</v>
      </c>
      <c r="L17" s="1">
        <v>55.09</v>
      </c>
    </row>
    <row r="18" spans="1:12" ht="15.6" x14ac:dyDescent="0.3">
      <c r="A18" s="1" t="s">
        <v>54</v>
      </c>
      <c r="B18" s="1">
        <v>42</v>
      </c>
      <c r="C18" s="1" t="s">
        <v>34</v>
      </c>
      <c r="D18" s="1" t="s">
        <v>50</v>
      </c>
      <c r="E18" s="1" t="s">
        <v>21</v>
      </c>
      <c r="F18" s="1">
        <v>76</v>
      </c>
      <c r="G18" s="1">
        <v>84</v>
      </c>
      <c r="H18" s="1" t="s">
        <v>32</v>
      </c>
      <c r="I18" s="1" t="s">
        <v>16</v>
      </c>
      <c r="J18" s="1" t="s">
        <v>17</v>
      </c>
      <c r="K18" s="1">
        <v>30.14</v>
      </c>
      <c r="L18" s="1">
        <v>11.02</v>
      </c>
    </row>
    <row r="19" spans="1:12" ht="15.6" x14ac:dyDescent="0.3">
      <c r="A19" s="1" t="s">
        <v>55</v>
      </c>
      <c r="B19" s="1">
        <v>42</v>
      </c>
      <c r="C19" s="1" t="s">
        <v>13</v>
      </c>
      <c r="D19" s="1" t="s">
        <v>20</v>
      </c>
      <c r="E19" s="1" t="s">
        <v>21</v>
      </c>
      <c r="F19" s="1">
        <v>531</v>
      </c>
      <c r="G19" s="1">
        <v>112</v>
      </c>
      <c r="H19" s="1" t="s">
        <v>22</v>
      </c>
      <c r="I19" s="1" t="s">
        <v>23</v>
      </c>
      <c r="J19" s="1" t="s">
        <v>24</v>
      </c>
      <c r="K19" s="1">
        <v>63.28</v>
      </c>
      <c r="L19" s="1">
        <v>33.229999999999997</v>
      </c>
    </row>
    <row r="20" spans="1:12" ht="15.6" x14ac:dyDescent="0.3">
      <c r="A20" s="1" t="s">
        <v>56</v>
      </c>
      <c r="B20" s="1">
        <v>22</v>
      </c>
      <c r="C20" s="1" t="s">
        <v>13</v>
      </c>
      <c r="D20" s="1" t="s">
        <v>20</v>
      </c>
      <c r="E20" s="1" t="s">
        <v>31</v>
      </c>
      <c r="F20" s="1">
        <v>234</v>
      </c>
      <c r="G20" s="1">
        <v>88</v>
      </c>
      <c r="H20" s="1" t="s">
        <v>37</v>
      </c>
      <c r="I20" s="1" t="s">
        <v>23</v>
      </c>
      <c r="J20" s="1" t="s">
        <v>17</v>
      </c>
      <c r="K20" s="1">
        <v>63.51</v>
      </c>
      <c r="L20" s="1">
        <v>35.520000000000003</v>
      </c>
    </row>
    <row r="21" spans="1:12" ht="15.6" x14ac:dyDescent="0.3">
      <c r="A21" s="1" t="s">
        <v>57</v>
      </c>
      <c r="B21" s="1">
        <v>13</v>
      </c>
      <c r="C21" s="1" t="s">
        <v>26</v>
      </c>
      <c r="D21" s="1" t="s">
        <v>27</v>
      </c>
      <c r="E21" s="1" t="s">
        <v>36</v>
      </c>
      <c r="F21" s="1">
        <v>44</v>
      </c>
      <c r="G21" s="1">
        <v>193</v>
      </c>
      <c r="H21" s="1" t="s">
        <v>15</v>
      </c>
      <c r="I21" s="1" t="s">
        <v>16</v>
      </c>
      <c r="J21" s="1" t="s">
        <v>17</v>
      </c>
      <c r="K21" s="1">
        <v>43.17</v>
      </c>
      <c r="L21" s="1">
        <v>79.98</v>
      </c>
    </row>
    <row r="22" spans="1:12" ht="15.6" x14ac:dyDescent="0.3">
      <c r="A22" s="1" t="s">
        <v>58</v>
      </c>
      <c r="B22" s="1">
        <v>27</v>
      </c>
      <c r="C22" s="1" t="s">
        <v>34</v>
      </c>
      <c r="D22" s="1" t="s">
        <v>35</v>
      </c>
      <c r="E22" s="1" t="s">
        <v>45</v>
      </c>
      <c r="F22" s="1">
        <v>372</v>
      </c>
      <c r="G22" s="1">
        <v>85</v>
      </c>
      <c r="H22" s="1" t="s">
        <v>15</v>
      </c>
      <c r="I22" s="1" t="s">
        <v>16</v>
      </c>
      <c r="J22" s="1" t="s">
        <v>24</v>
      </c>
      <c r="K22" s="1">
        <v>25.58</v>
      </c>
      <c r="L22" s="1">
        <v>34.700000000000003</v>
      </c>
    </row>
    <row r="23" spans="1:12" ht="15.6" x14ac:dyDescent="0.3">
      <c r="A23" s="1" t="s">
        <v>59</v>
      </c>
      <c r="B23" s="1">
        <v>19</v>
      </c>
      <c r="C23" s="1" t="s">
        <v>26</v>
      </c>
      <c r="D23" s="1" t="s">
        <v>14</v>
      </c>
      <c r="E23" s="1" t="s">
        <v>21</v>
      </c>
      <c r="F23" s="1">
        <v>146</v>
      </c>
      <c r="G23" s="1">
        <v>130</v>
      </c>
      <c r="H23" s="1" t="s">
        <v>32</v>
      </c>
      <c r="I23" s="1" t="s">
        <v>23</v>
      </c>
      <c r="J23" s="1" t="s">
        <v>24</v>
      </c>
      <c r="K23" s="1">
        <v>44.31</v>
      </c>
      <c r="L23" s="1">
        <v>19.829999999999998</v>
      </c>
    </row>
    <row r="24" spans="1:12" ht="15.6" x14ac:dyDescent="0.3">
      <c r="A24" s="1" t="s">
        <v>60</v>
      </c>
      <c r="B24" s="1">
        <v>48</v>
      </c>
      <c r="C24" s="1" t="s">
        <v>19</v>
      </c>
      <c r="D24" s="1" t="s">
        <v>27</v>
      </c>
      <c r="E24" s="1" t="s">
        <v>21</v>
      </c>
      <c r="F24" s="1">
        <v>513</v>
      </c>
      <c r="G24" s="1">
        <v>485</v>
      </c>
      <c r="H24" s="1" t="s">
        <v>32</v>
      </c>
      <c r="I24" s="1" t="s">
        <v>16</v>
      </c>
      <c r="J24" s="1" t="s">
        <v>24</v>
      </c>
      <c r="K24" s="1">
        <v>61.93</v>
      </c>
      <c r="L24" s="1">
        <v>49.88</v>
      </c>
    </row>
    <row r="25" spans="1:12" ht="15.6" x14ac:dyDescent="0.3">
      <c r="A25" s="1" t="s">
        <v>61</v>
      </c>
      <c r="B25" s="1">
        <v>56</v>
      </c>
      <c r="C25" s="1" t="s">
        <v>13</v>
      </c>
      <c r="D25" s="1" t="s">
        <v>14</v>
      </c>
      <c r="E25" s="1" t="s">
        <v>45</v>
      </c>
      <c r="F25" s="1">
        <v>284</v>
      </c>
      <c r="G25" s="1">
        <v>97</v>
      </c>
      <c r="H25" s="1" t="s">
        <v>37</v>
      </c>
      <c r="I25" s="1" t="s">
        <v>23</v>
      </c>
      <c r="J25" s="1" t="s">
        <v>24</v>
      </c>
      <c r="K25" s="1">
        <v>19.05</v>
      </c>
      <c r="L25" s="1">
        <v>27.92</v>
      </c>
    </row>
    <row r="26" spans="1:12" ht="15.6" x14ac:dyDescent="0.3">
      <c r="A26" s="1" t="s">
        <v>62</v>
      </c>
      <c r="B26" s="1">
        <v>30</v>
      </c>
      <c r="C26" s="1" t="s">
        <v>29</v>
      </c>
      <c r="D26" s="1" t="s">
        <v>35</v>
      </c>
      <c r="E26" s="1" t="s">
        <v>36</v>
      </c>
      <c r="F26" s="1">
        <v>595</v>
      </c>
      <c r="G26" s="1">
        <v>435</v>
      </c>
      <c r="H26" s="1" t="s">
        <v>22</v>
      </c>
      <c r="I26" s="1" t="s">
        <v>16</v>
      </c>
      <c r="J26" s="1" t="s">
        <v>24</v>
      </c>
      <c r="K26" s="1">
        <v>49.22</v>
      </c>
      <c r="L26" s="1">
        <v>12.25</v>
      </c>
    </row>
    <row r="27" spans="1:12" ht="15.6" x14ac:dyDescent="0.3">
      <c r="A27" s="1" t="s">
        <v>63</v>
      </c>
      <c r="B27" s="1">
        <v>60</v>
      </c>
      <c r="C27" s="1" t="s">
        <v>13</v>
      </c>
      <c r="D27" s="1" t="s">
        <v>50</v>
      </c>
      <c r="E27" s="1" t="s">
        <v>2</v>
      </c>
      <c r="F27" s="1">
        <v>37</v>
      </c>
      <c r="G27" s="1">
        <v>226</v>
      </c>
      <c r="H27" s="1" t="s">
        <v>37</v>
      </c>
      <c r="I27" s="1" t="s">
        <v>16</v>
      </c>
      <c r="J27" s="1" t="s">
        <v>24</v>
      </c>
      <c r="K27" s="1">
        <v>76.78</v>
      </c>
      <c r="L27" s="1">
        <v>14.4</v>
      </c>
    </row>
    <row r="28" spans="1:12" ht="15.6" x14ac:dyDescent="0.3">
      <c r="A28" s="1" t="s">
        <v>64</v>
      </c>
      <c r="B28" s="1">
        <v>50</v>
      </c>
      <c r="C28" s="1" t="s">
        <v>29</v>
      </c>
      <c r="D28" s="1" t="s">
        <v>30</v>
      </c>
      <c r="E28" s="1" t="s">
        <v>2</v>
      </c>
      <c r="F28" s="1">
        <v>524</v>
      </c>
      <c r="G28" s="1">
        <v>91</v>
      </c>
      <c r="H28" s="1" t="s">
        <v>15</v>
      </c>
      <c r="I28" s="1" t="s">
        <v>23</v>
      </c>
      <c r="J28" s="1" t="s">
        <v>24</v>
      </c>
      <c r="K28" s="1">
        <v>70.83</v>
      </c>
      <c r="L28" s="1">
        <v>26.29</v>
      </c>
    </row>
    <row r="29" spans="1:12" ht="15.6" x14ac:dyDescent="0.3">
      <c r="A29" s="1" t="s">
        <v>65</v>
      </c>
      <c r="B29" s="1">
        <v>33</v>
      </c>
      <c r="C29" s="1" t="s">
        <v>29</v>
      </c>
      <c r="D29" s="1" t="s">
        <v>20</v>
      </c>
      <c r="E29" s="1" t="s">
        <v>21</v>
      </c>
      <c r="F29" s="1">
        <v>518</v>
      </c>
      <c r="G29" s="1">
        <v>9</v>
      </c>
      <c r="H29" s="1" t="s">
        <v>37</v>
      </c>
      <c r="I29" s="1" t="s">
        <v>23</v>
      </c>
      <c r="J29" s="1" t="s">
        <v>38</v>
      </c>
      <c r="K29" s="1">
        <v>30.64</v>
      </c>
      <c r="L29" s="1">
        <v>20.99</v>
      </c>
    </row>
    <row r="30" spans="1:12" ht="15.6" x14ac:dyDescent="0.3">
      <c r="A30" s="1" t="s">
        <v>66</v>
      </c>
      <c r="B30" s="1">
        <v>38</v>
      </c>
      <c r="C30" s="1" t="s">
        <v>13</v>
      </c>
      <c r="D30" s="1" t="s">
        <v>35</v>
      </c>
      <c r="E30" s="1" t="s">
        <v>40</v>
      </c>
      <c r="F30" s="1">
        <v>151</v>
      </c>
      <c r="G30" s="1">
        <v>212</v>
      </c>
      <c r="H30" s="1" t="s">
        <v>22</v>
      </c>
      <c r="I30" s="1" t="s">
        <v>23</v>
      </c>
      <c r="J30" s="1" t="s">
        <v>24</v>
      </c>
      <c r="K30" s="1">
        <v>49.49</v>
      </c>
      <c r="L30" s="1">
        <v>32.51</v>
      </c>
    </row>
    <row r="31" spans="1:12" ht="15.6" x14ac:dyDescent="0.3">
      <c r="A31" s="1" t="s">
        <v>67</v>
      </c>
      <c r="B31" s="1">
        <v>49</v>
      </c>
      <c r="C31" s="1" t="s">
        <v>26</v>
      </c>
      <c r="D31" s="1" t="s">
        <v>35</v>
      </c>
      <c r="E31" s="1" t="s">
        <v>2</v>
      </c>
      <c r="F31" s="1">
        <v>352</v>
      </c>
      <c r="G31" s="1">
        <v>443</v>
      </c>
      <c r="H31" s="1" t="s">
        <v>32</v>
      </c>
      <c r="I31" s="1" t="s">
        <v>16</v>
      </c>
      <c r="J31" s="1" t="s">
        <v>38</v>
      </c>
      <c r="K31" s="1">
        <v>73.11</v>
      </c>
      <c r="L31" s="1">
        <v>36.69</v>
      </c>
    </row>
    <row r="32" spans="1:12" ht="15.6" x14ac:dyDescent="0.3">
      <c r="A32" s="1" t="s">
        <v>68</v>
      </c>
      <c r="B32" s="1">
        <v>32</v>
      </c>
      <c r="C32" s="1" t="s">
        <v>29</v>
      </c>
      <c r="D32" s="1" t="s">
        <v>50</v>
      </c>
      <c r="E32" s="1" t="s">
        <v>21</v>
      </c>
      <c r="F32" s="1">
        <v>119</v>
      </c>
      <c r="G32" s="1">
        <v>31</v>
      </c>
      <c r="H32" s="1" t="s">
        <v>32</v>
      </c>
      <c r="I32" s="1" t="s">
        <v>23</v>
      </c>
      <c r="J32" s="1" t="s">
        <v>24</v>
      </c>
      <c r="K32" s="1">
        <v>85.39</v>
      </c>
      <c r="L32" s="1">
        <v>55.56</v>
      </c>
    </row>
    <row r="33" spans="1:12" ht="15.6" x14ac:dyDescent="0.3">
      <c r="A33" s="1" t="s">
        <v>69</v>
      </c>
      <c r="B33" s="1">
        <v>21</v>
      </c>
      <c r="C33" s="1" t="s">
        <v>13</v>
      </c>
      <c r="D33" s="1" t="s">
        <v>35</v>
      </c>
      <c r="E33" s="1" t="s">
        <v>2</v>
      </c>
      <c r="F33" s="1">
        <v>551</v>
      </c>
      <c r="G33" s="1">
        <v>421</v>
      </c>
      <c r="H33" s="1" t="s">
        <v>32</v>
      </c>
      <c r="I33" s="1" t="s">
        <v>16</v>
      </c>
      <c r="J33" s="1" t="s">
        <v>38</v>
      </c>
      <c r="K33" s="1">
        <v>49.2</v>
      </c>
      <c r="L33" s="1">
        <v>42.1</v>
      </c>
    </row>
    <row r="34" spans="1:12" ht="15.6" x14ac:dyDescent="0.3">
      <c r="A34" s="1" t="s">
        <v>70</v>
      </c>
      <c r="B34" s="1">
        <v>22</v>
      </c>
      <c r="C34" s="1" t="s">
        <v>19</v>
      </c>
      <c r="D34" s="1" t="s">
        <v>35</v>
      </c>
      <c r="E34" s="1" t="s">
        <v>31</v>
      </c>
      <c r="F34" s="1">
        <v>372</v>
      </c>
      <c r="G34" s="1">
        <v>168</v>
      </c>
      <c r="H34" s="1" t="s">
        <v>15</v>
      </c>
      <c r="I34" s="1" t="s">
        <v>16</v>
      </c>
      <c r="J34" s="1" t="s">
        <v>17</v>
      </c>
      <c r="K34" s="1">
        <v>24.79</v>
      </c>
      <c r="L34" s="1">
        <v>63.7</v>
      </c>
    </row>
    <row r="35" spans="1:12" ht="15.6" x14ac:dyDescent="0.3">
      <c r="A35" s="1" t="s">
        <v>71</v>
      </c>
      <c r="B35" s="1">
        <v>14</v>
      </c>
      <c r="C35" s="1" t="s">
        <v>34</v>
      </c>
      <c r="D35" s="1" t="s">
        <v>35</v>
      </c>
      <c r="E35" s="1" t="s">
        <v>2</v>
      </c>
      <c r="F35" s="1">
        <v>51</v>
      </c>
      <c r="G35" s="1">
        <v>424</v>
      </c>
      <c r="H35" s="1" t="s">
        <v>48</v>
      </c>
      <c r="I35" s="1" t="s">
        <v>16</v>
      </c>
      <c r="J35" s="1" t="s">
        <v>24</v>
      </c>
      <c r="K35" s="1">
        <v>59.28</v>
      </c>
      <c r="L35" s="1">
        <v>66.16</v>
      </c>
    </row>
    <row r="36" spans="1:12" ht="15.6" x14ac:dyDescent="0.3">
      <c r="A36" s="1" t="s">
        <v>72</v>
      </c>
      <c r="B36" s="1">
        <v>54</v>
      </c>
      <c r="C36" s="1" t="s">
        <v>13</v>
      </c>
      <c r="D36" s="1" t="s">
        <v>20</v>
      </c>
      <c r="E36" s="1" t="s">
        <v>2</v>
      </c>
      <c r="F36" s="1">
        <v>440</v>
      </c>
      <c r="G36" s="1">
        <v>448</v>
      </c>
      <c r="H36" s="1" t="s">
        <v>32</v>
      </c>
      <c r="I36" s="1" t="s">
        <v>23</v>
      </c>
      <c r="J36" s="1" t="s">
        <v>24</v>
      </c>
      <c r="K36" s="1">
        <v>55.32</v>
      </c>
      <c r="L36" s="1">
        <v>9.42</v>
      </c>
    </row>
    <row r="37" spans="1:12" ht="15.6" x14ac:dyDescent="0.3">
      <c r="A37" s="1" t="s">
        <v>73</v>
      </c>
      <c r="B37" s="1">
        <v>18</v>
      </c>
      <c r="C37" s="1" t="s">
        <v>34</v>
      </c>
      <c r="D37" s="1" t="s">
        <v>20</v>
      </c>
      <c r="E37" s="1" t="s">
        <v>31</v>
      </c>
      <c r="F37" s="1">
        <v>570</v>
      </c>
      <c r="G37" s="1">
        <v>246</v>
      </c>
      <c r="H37" s="1" t="s">
        <v>22</v>
      </c>
      <c r="I37" s="1" t="s">
        <v>23</v>
      </c>
      <c r="J37" s="1" t="s">
        <v>17</v>
      </c>
      <c r="K37" s="1">
        <v>69.77</v>
      </c>
      <c r="L37" s="1">
        <v>54.47</v>
      </c>
    </row>
    <row r="38" spans="1:12" ht="15.6" x14ac:dyDescent="0.3">
      <c r="A38" s="1" t="s">
        <v>74</v>
      </c>
      <c r="B38" s="1">
        <v>52</v>
      </c>
      <c r="C38" s="1" t="s">
        <v>29</v>
      </c>
      <c r="D38" s="1" t="s">
        <v>50</v>
      </c>
      <c r="E38" s="1" t="s">
        <v>36</v>
      </c>
      <c r="F38" s="1">
        <v>139</v>
      </c>
      <c r="G38" s="1">
        <v>228</v>
      </c>
      <c r="H38" s="1" t="s">
        <v>37</v>
      </c>
      <c r="I38" s="1" t="s">
        <v>16</v>
      </c>
      <c r="J38" s="1" t="s">
        <v>38</v>
      </c>
      <c r="K38" s="1">
        <v>11.98</v>
      </c>
      <c r="L38" s="1">
        <v>65.55</v>
      </c>
    </row>
    <row r="39" spans="1:12" ht="15.6" x14ac:dyDescent="0.3">
      <c r="A39" s="1" t="s">
        <v>75</v>
      </c>
      <c r="B39" s="1">
        <v>18</v>
      </c>
      <c r="C39" s="1" t="s">
        <v>26</v>
      </c>
      <c r="D39" s="1" t="s">
        <v>35</v>
      </c>
      <c r="E39" s="1" t="s">
        <v>21</v>
      </c>
      <c r="F39" s="1">
        <v>493</v>
      </c>
      <c r="G39" s="1">
        <v>417</v>
      </c>
      <c r="H39" s="1" t="s">
        <v>48</v>
      </c>
      <c r="I39" s="1" t="s">
        <v>23</v>
      </c>
      <c r="J39" s="1" t="s">
        <v>38</v>
      </c>
      <c r="K39" s="1">
        <v>72.34</v>
      </c>
      <c r="L39" s="1">
        <v>6.65</v>
      </c>
    </row>
    <row r="40" spans="1:12" ht="15.6" x14ac:dyDescent="0.3">
      <c r="A40" s="1" t="s">
        <v>76</v>
      </c>
      <c r="B40" s="1">
        <v>53</v>
      </c>
      <c r="C40" s="1" t="s">
        <v>26</v>
      </c>
      <c r="D40" s="1" t="s">
        <v>14</v>
      </c>
      <c r="E40" s="1" t="s">
        <v>21</v>
      </c>
      <c r="F40" s="1">
        <v>514</v>
      </c>
      <c r="G40" s="1">
        <v>377</v>
      </c>
      <c r="H40" s="1" t="s">
        <v>22</v>
      </c>
      <c r="I40" s="1" t="s">
        <v>16</v>
      </c>
      <c r="J40" s="1" t="s">
        <v>17</v>
      </c>
      <c r="K40" s="1">
        <v>83.19</v>
      </c>
      <c r="L40" s="1">
        <v>58.45</v>
      </c>
    </row>
    <row r="41" spans="1:12" ht="15.6" x14ac:dyDescent="0.3">
      <c r="A41" s="1" t="s">
        <v>77</v>
      </c>
      <c r="B41" s="1">
        <v>32</v>
      </c>
      <c r="C41" s="1" t="s">
        <v>19</v>
      </c>
      <c r="D41" s="1" t="s">
        <v>20</v>
      </c>
      <c r="E41" s="1" t="s">
        <v>40</v>
      </c>
      <c r="F41" s="1">
        <v>409</v>
      </c>
      <c r="G41" s="1">
        <v>333</v>
      </c>
      <c r="H41" s="1" t="s">
        <v>37</v>
      </c>
      <c r="I41" s="1" t="s">
        <v>23</v>
      </c>
      <c r="J41" s="1" t="s">
        <v>38</v>
      </c>
      <c r="K41" s="1">
        <v>11.84</v>
      </c>
      <c r="L41" s="1">
        <v>22.71</v>
      </c>
    </row>
    <row r="42" spans="1:12" ht="15.6" x14ac:dyDescent="0.3">
      <c r="A42" s="1" t="s">
        <v>78</v>
      </c>
      <c r="B42" s="1">
        <v>39</v>
      </c>
      <c r="C42" s="1" t="s">
        <v>26</v>
      </c>
      <c r="D42" s="1" t="s">
        <v>27</v>
      </c>
      <c r="E42" s="1" t="s">
        <v>2</v>
      </c>
      <c r="F42" s="1">
        <v>342</v>
      </c>
      <c r="G42" s="1">
        <v>437</v>
      </c>
      <c r="H42" s="1" t="s">
        <v>37</v>
      </c>
      <c r="I42" s="1" t="s">
        <v>23</v>
      </c>
      <c r="J42" s="1" t="s">
        <v>17</v>
      </c>
      <c r="K42" s="1">
        <v>70.05</v>
      </c>
      <c r="L42" s="1">
        <v>64.62</v>
      </c>
    </row>
    <row r="43" spans="1:12" ht="15.6" x14ac:dyDescent="0.3">
      <c r="A43" s="1" t="s">
        <v>79</v>
      </c>
      <c r="B43" s="1">
        <v>59</v>
      </c>
      <c r="C43" s="1" t="s">
        <v>19</v>
      </c>
      <c r="D43" s="1" t="s">
        <v>35</v>
      </c>
      <c r="E43" s="1" t="s">
        <v>21</v>
      </c>
      <c r="F43" s="1">
        <v>311</v>
      </c>
      <c r="G43" s="1">
        <v>428</v>
      </c>
      <c r="H43" s="1" t="s">
        <v>37</v>
      </c>
      <c r="I43" s="1" t="s">
        <v>23</v>
      </c>
      <c r="J43" s="1" t="s">
        <v>38</v>
      </c>
      <c r="K43" s="1">
        <v>74.86</v>
      </c>
      <c r="L43" s="1">
        <v>20.09</v>
      </c>
    </row>
    <row r="44" spans="1:12" ht="15.6" x14ac:dyDescent="0.3">
      <c r="A44" s="1" t="s">
        <v>80</v>
      </c>
      <c r="B44" s="1">
        <v>13</v>
      </c>
      <c r="C44" s="1" t="s">
        <v>19</v>
      </c>
      <c r="D44" s="1" t="s">
        <v>20</v>
      </c>
      <c r="E44" s="1" t="s">
        <v>36</v>
      </c>
      <c r="F44" s="1">
        <v>446</v>
      </c>
      <c r="G44" s="1">
        <v>256</v>
      </c>
      <c r="H44" s="1" t="s">
        <v>32</v>
      </c>
      <c r="I44" s="1" t="s">
        <v>16</v>
      </c>
      <c r="J44" s="1" t="s">
        <v>38</v>
      </c>
      <c r="K44" s="1">
        <v>38.68</v>
      </c>
      <c r="L44" s="1">
        <v>79.12</v>
      </c>
    </row>
    <row r="45" spans="1:12" ht="15.6" x14ac:dyDescent="0.3">
      <c r="A45" s="1" t="s">
        <v>81</v>
      </c>
      <c r="B45" s="1">
        <v>27</v>
      </c>
      <c r="C45" s="1" t="s">
        <v>19</v>
      </c>
      <c r="D45" s="1" t="s">
        <v>14</v>
      </c>
      <c r="E45" s="1" t="s">
        <v>45</v>
      </c>
      <c r="F45" s="1">
        <v>369</v>
      </c>
      <c r="G45" s="1">
        <v>348</v>
      </c>
      <c r="H45" s="1" t="s">
        <v>48</v>
      </c>
      <c r="I45" s="1" t="s">
        <v>16</v>
      </c>
      <c r="J45" s="1" t="s">
        <v>24</v>
      </c>
      <c r="K45" s="1">
        <v>88.99</v>
      </c>
      <c r="L45" s="1">
        <v>7.06</v>
      </c>
    </row>
    <row r="46" spans="1:12" ht="15.6" x14ac:dyDescent="0.3">
      <c r="A46" s="1" t="s">
        <v>82</v>
      </c>
      <c r="B46" s="1">
        <v>26</v>
      </c>
      <c r="C46" s="1" t="s">
        <v>19</v>
      </c>
      <c r="D46" s="1" t="s">
        <v>27</v>
      </c>
      <c r="E46" s="1" t="s">
        <v>36</v>
      </c>
      <c r="F46" s="1">
        <v>10</v>
      </c>
      <c r="G46" s="1">
        <v>143</v>
      </c>
      <c r="H46" s="1" t="s">
        <v>32</v>
      </c>
      <c r="I46" s="1" t="s">
        <v>16</v>
      </c>
      <c r="J46" s="1" t="s">
        <v>17</v>
      </c>
      <c r="K46" s="1">
        <v>17.809999999999999</v>
      </c>
      <c r="L46" s="1">
        <v>37.729999999999997</v>
      </c>
    </row>
    <row r="47" spans="1:12" ht="15.6" x14ac:dyDescent="0.3">
      <c r="A47" s="1" t="s">
        <v>83</v>
      </c>
      <c r="B47" s="1">
        <v>52</v>
      </c>
      <c r="C47" s="1" t="s">
        <v>26</v>
      </c>
      <c r="D47" s="1" t="s">
        <v>20</v>
      </c>
      <c r="E47" s="1" t="s">
        <v>31</v>
      </c>
      <c r="F47" s="1">
        <v>200</v>
      </c>
      <c r="G47" s="1">
        <v>44</v>
      </c>
      <c r="H47" s="1" t="s">
        <v>15</v>
      </c>
      <c r="I47" s="1" t="s">
        <v>23</v>
      </c>
      <c r="J47" s="1" t="s">
        <v>17</v>
      </c>
      <c r="K47" s="1">
        <v>14.84</v>
      </c>
      <c r="L47" s="1">
        <v>52.91</v>
      </c>
    </row>
    <row r="48" spans="1:12" ht="15.6" x14ac:dyDescent="0.3">
      <c r="A48" s="1" t="s">
        <v>84</v>
      </c>
      <c r="B48" s="1">
        <v>48</v>
      </c>
      <c r="C48" s="1" t="s">
        <v>26</v>
      </c>
      <c r="D48" s="1" t="s">
        <v>50</v>
      </c>
      <c r="E48" s="1" t="s">
        <v>40</v>
      </c>
      <c r="F48" s="1">
        <v>542</v>
      </c>
      <c r="G48" s="1">
        <v>274</v>
      </c>
      <c r="H48" s="1" t="s">
        <v>48</v>
      </c>
      <c r="I48" s="1" t="s">
        <v>23</v>
      </c>
      <c r="J48" s="1" t="s">
        <v>24</v>
      </c>
      <c r="K48" s="1">
        <v>10.55</v>
      </c>
      <c r="L48" s="1">
        <v>32.93</v>
      </c>
    </row>
    <row r="49" spans="1:12" ht="15.6" x14ac:dyDescent="0.3">
      <c r="A49" s="1" t="s">
        <v>85</v>
      </c>
      <c r="B49" s="1">
        <v>31</v>
      </c>
      <c r="C49" s="1" t="s">
        <v>13</v>
      </c>
      <c r="D49" s="1" t="s">
        <v>14</v>
      </c>
      <c r="E49" s="1" t="s">
        <v>45</v>
      </c>
      <c r="F49" s="1">
        <v>328</v>
      </c>
      <c r="G49" s="1">
        <v>237</v>
      </c>
      <c r="H49" s="1" t="s">
        <v>32</v>
      </c>
      <c r="I49" s="1" t="s">
        <v>23</v>
      </c>
      <c r="J49" s="1" t="s">
        <v>17</v>
      </c>
      <c r="K49" s="1">
        <v>67.08</v>
      </c>
      <c r="L49" s="1">
        <v>5.51</v>
      </c>
    </row>
    <row r="50" spans="1:12" ht="15.6" x14ac:dyDescent="0.3">
      <c r="A50" s="1" t="s">
        <v>86</v>
      </c>
      <c r="B50" s="1">
        <v>23</v>
      </c>
      <c r="C50" s="1" t="s">
        <v>29</v>
      </c>
      <c r="D50" s="1" t="s">
        <v>50</v>
      </c>
      <c r="E50" s="1" t="s">
        <v>21</v>
      </c>
      <c r="F50" s="1">
        <v>289</v>
      </c>
      <c r="G50" s="1">
        <v>491</v>
      </c>
      <c r="H50" s="1" t="s">
        <v>48</v>
      </c>
      <c r="I50" s="1" t="s">
        <v>23</v>
      </c>
      <c r="J50" s="1" t="s">
        <v>24</v>
      </c>
      <c r="K50" s="1">
        <v>89</v>
      </c>
      <c r="L50" s="1">
        <v>10.41</v>
      </c>
    </row>
    <row r="51" spans="1:12" ht="15.6" x14ac:dyDescent="0.3">
      <c r="A51" s="1" t="s">
        <v>87</v>
      </c>
      <c r="B51" s="1">
        <v>25</v>
      </c>
      <c r="C51" s="1" t="s">
        <v>13</v>
      </c>
      <c r="D51" s="1" t="s">
        <v>27</v>
      </c>
      <c r="E51" s="1" t="s">
        <v>36</v>
      </c>
      <c r="F51" s="1">
        <v>312</v>
      </c>
      <c r="G51" s="1">
        <v>170</v>
      </c>
      <c r="H51" s="1" t="s">
        <v>37</v>
      </c>
      <c r="I51" s="1" t="s">
        <v>16</v>
      </c>
      <c r="J51" s="1" t="s">
        <v>24</v>
      </c>
      <c r="K51" s="1">
        <v>84.38</v>
      </c>
      <c r="L51" s="1">
        <v>11.5</v>
      </c>
    </row>
    <row r="52" spans="1:12" ht="15.6" x14ac:dyDescent="0.3">
      <c r="A52" s="1" t="s">
        <v>88</v>
      </c>
      <c r="B52" s="1">
        <v>35</v>
      </c>
      <c r="C52" s="1" t="s">
        <v>29</v>
      </c>
      <c r="D52" s="1" t="s">
        <v>20</v>
      </c>
      <c r="E52" s="1" t="s">
        <v>40</v>
      </c>
      <c r="F52" s="1">
        <v>287</v>
      </c>
      <c r="G52" s="1">
        <v>461</v>
      </c>
      <c r="H52" s="1" t="s">
        <v>48</v>
      </c>
      <c r="I52" s="1" t="s">
        <v>16</v>
      </c>
      <c r="J52" s="1" t="s">
        <v>17</v>
      </c>
      <c r="K52" s="1">
        <v>54.28</v>
      </c>
      <c r="L52" s="1">
        <v>65.77</v>
      </c>
    </row>
    <row r="53" spans="1:12" ht="15.6" x14ac:dyDescent="0.3">
      <c r="A53" s="1" t="s">
        <v>89</v>
      </c>
      <c r="B53" s="1">
        <v>28</v>
      </c>
      <c r="C53" s="1" t="s">
        <v>34</v>
      </c>
      <c r="D53" s="1" t="s">
        <v>20</v>
      </c>
      <c r="E53" s="1" t="s">
        <v>21</v>
      </c>
      <c r="F53" s="1">
        <v>396</v>
      </c>
      <c r="G53" s="1">
        <v>378</v>
      </c>
      <c r="H53" s="1" t="s">
        <v>48</v>
      </c>
      <c r="I53" s="1" t="s">
        <v>16</v>
      </c>
      <c r="J53" s="1" t="s">
        <v>17</v>
      </c>
      <c r="K53" s="1">
        <v>31.79</v>
      </c>
      <c r="L53" s="1">
        <v>43.93</v>
      </c>
    </row>
    <row r="54" spans="1:12" ht="15.6" x14ac:dyDescent="0.3">
      <c r="A54" s="1" t="s">
        <v>90</v>
      </c>
      <c r="B54" s="1">
        <v>20</v>
      </c>
      <c r="C54" s="1" t="s">
        <v>13</v>
      </c>
      <c r="D54" s="1" t="s">
        <v>14</v>
      </c>
      <c r="E54" s="1" t="s">
        <v>21</v>
      </c>
      <c r="F54" s="1">
        <v>109</v>
      </c>
      <c r="G54" s="1">
        <v>132</v>
      </c>
      <c r="H54" s="1" t="s">
        <v>37</v>
      </c>
      <c r="I54" s="1" t="s">
        <v>16</v>
      </c>
      <c r="J54" s="1" t="s">
        <v>17</v>
      </c>
      <c r="K54" s="1">
        <v>50.08</v>
      </c>
      <c r="L54" s="1">
        <v>44.99</v>
      </c>
    </row>
    <row r="55" spans="1:12" ht="15.6" x14ac:dyDescent="0.3">
      <c r="A55" s="1" t="s">
        <v>91</v>
      </c>
      <c r="B55" s="1">
        <v>26</v>
      </c>
      <c r="C55" s="1" t="s">
        <v>34</v>
      </c>
      <c r="D55" s="1" t="s">
        <v>27</v>
      </c>
      <c r="E55" s="1" t="s">
        <v>2</v>
      </c>
      <c r="F55" s="1">
        <v>300</v>
      </c>
      <c r="G55" s="1">
        <v>236</v>
      </c>
      <c r="H55" s="1" t="s">
        <v>32</v>
      </c>
      <c r="I55" s="1" t="s">
        <v>16</v>
      </c>
      <c r="J55" s="1" t="s">
        <v>24</v>
      </c>
      <c r="K55" s="1">
        <v>87.81</v>
      </c>
      <c r="L55" s="1">
        <v>70.8</v>
      </c>
    </row>
    <row r="56" spans="1:12" ht="15.6" x14ac:dyDescent="0.3">
      <c r="A56" s="1" t="s">
        <v>92</v>
      </c>
      <c r="B56" s="1">
        <v>42</v>
      </c>
      <c r="C56" s="1" t="s">
        <v>29</v>
      </c>
      <c r="D56" s="1" t="s">
        <v>27</v>
      </c>
      <c r="E56" s="1" t="s">
        <v>31</v>
      </c>
      <c r="F56" s="1">
        <v>299</v>
      </c>
      <c r="G56" s="1">
        <v>245</v>
      </c>
      <c r="H56" s="1" t="s">
        <v>22</v>
      </c>
      <c r="I56" s="1" t="s">
        <v>23</v>
      </c>
      <c r="J56" s="1" t="s">
        <v>17</v>
      </c>
      <c r="K56" s="1">
        <v>44.42</v>
      </c>
      <c r="L56" s="1">
        <v>72.680000000000007</v>
      </c>
    </row>
    <row r="57" spans="1:12" ht="15.6" x14ac:dyDescent="0.3">
      <c r="A57" s="1" t="s">
        <v>93</v>
      </c>
      <c r="B57" s="1">
        <v>35</v>
      </c>
      <c r="C57" s="1" t="s">
        <v>34</v>
      </c>
      <c r="D57" s="1" t="s">
        <v>30</v>
      </c>
      <c r="E57" s="1" t="s">
        <v>31</v>
      </c>
      <c r="F57" s="1">
        <v>212</v>
      </c>
      <c r="G57" s="1">
        <v>307</v>
      </c>
      <c r="H57" s="1" t="s">
        <v>22</v>
      </c>
      <c r="I57" s="1" t="s">
        <v>16</v>
      </c>
      <c r="J57" s="1" t="s">
        <v>38</v>
      </c>
      <c r="K57" s="1">
        <v>77.31</v>
      </c>
      <c r="L57" s="1">
        <v>56.83</v>
      </c>
    </row>
    <row r="58" spans="1:12" ht="15.6" x14ac:dyDescent="0.3">
      <c r="A58" s="1" t="s">
        <v>94</v>
      </c>
      <c r="B58" s="1">
        <v>32</v>
      </c>
      <c r="C58" s="1" t="s">
        <v>29</v>
      </c>
      <c r="D58" s="1" t="s">
        <v>20</v>
      </c>
      <c r="E58" s="1" t="s">
        <v>2</v>
      </c>
      <c r="F58" s="1">
        <v>257</v>
      </c>
      <c r="G58" s="1">
        <v>482</v>
      </c>
      <c r="H58" s="1" t="s">
        <v>15</v>
      </c>
      <c r="I58" s="1" t="s">
        <v>16</v>
      </c>
      <c r="J58" s="1" t="s">
        <v>24</v>
      </c>
      <c r="K58" s="1">
        <v>68.239999999999995</v>
      </c>
      <c r="L58" s="1">
        <v>13.73</v>
      </c>
    </row>
    <row r="59" spans="1:12" ht="15.6" x14ac:dyDescent="0.3">
      <c r="A59" s="1" t="s">
        <v>95</v>
      </c>
      <c r="B59" s="1">
        <v>38</v>
      </c>
      <c r="C59" s="1" t="s">
        <v>13</v>
      </c>
      <c r="D59" s="1" t="s">
        <v>27</v>
      </c>
      <c r="E59" s="1" t="s">
        <v>31</v>
      </c>
      <c r="F59" s="1">
        <v>531</v>
      </c>
      <c r="G59" s="1">
        <v>431</v>
      </c>
      <c r="H59" s="1" t="s">
        <v>15</v>
      </c>
      <c r="I59" s="1" t="s">
        <v>16</v>
      </c>
      <c r="J59" s="1" t="s">
        <v>38</v>
      </c>
      <c r="K59" s="1">
        <v>78.78</v>
      </c>
      <c r="L59" s="1">
        <v>13.44</v>
      </c>
    </row>
    <row r="60" spans="1:12" ht="15.6" x14ac:dyDescent="0.3">
      <c r="A60" s="1" t="s">
        <v>96</v>
      </c>
      <c r="B60" s="1">
        <v>43</v>
      </c>
      <c r="C60" s="1" t="s">
        <v>26</v>
      </c>
      <c r="D60" s="1" t="s">
        <v>50</v>
      </c>
      <c r="E60" s="1" t="s">
        <v>2</v>
      </c>
      <c r="F60" s="1">
        <v>259</v>
      </c>
      <c r="G60" s="1">
        <v>99</v>
      </c>
      <c r="H60" s="1" t="s">
        <v>37</v>
      </c>
      <c r="I60" s="1" t="s">
        <v>16</v>
      </c>
      <c r="J60" s="1" t="s">
        <v>24</v>
      </c>
      <c r="K60" s="1">
        <v>18.36</v>
      </c>
      <c r="L60" s="1">
        <v>71.03</v>
      </c>
    </row>
    <row r="61" spans="1:12" ht="15.6" x14ac:dyDescent="0.3">
      <c r="A61" s="1" t="s">
        <v>97</v>
      </c>
      <c r="B61" s="1">
        <v>25</v>
      </c>
      <c r="C61" s="1" t="s">
        <v>26</v>
      </c>
      <c r="D61" s="1" t="s">
        <v>14</v>
      </c>
      <c r="E61" s="1" t="s">
        <v>21</v>
      </c>
      <c r="F61" s="1">
        <v>271</v>
      </c>
      <c r="G61" s="1">
        <v>183</v>
      </c>
      <c r="H61" s="1" t="s">
        <v>37</v>
      </c>
      <c r="I61" s="1" t="s">
        <v>16</v>
      </c>
      <c r="J61" s="1" t="s">
        <v>17</v>
      </c>
      <c r="K61" s="1">
        <v>21.03</v>
      </c>
      <c r="L61" s="1">
        <v>60.35</v>
      </c>
    </row>
    <row r="62" spans="1:12" ht="15.6" x14ac:dyDescent="0.3">
      <c r="A62" s="1" t="s">
        <v>98</v>
      </c>
      <c r="B62" s="1">
        <v>48</v>
      </c>
      <c r="C62" s="1" t="s">
        <v>34</v>
      </c>
      <c r="D62" s="1" t="s">
        <v>20</v>
      </c>
      <c r="E62" s="1" t="s">
        <v>21</v>
      </c>
      <c r="F62" s="1">
        <v>460</v>
      </c>
      <c r="G62" s="1">
        <v>243</v>
      </c>
      <c r="H62" s="1" t="s">
        <v>22</v>
      </c>
      <c r="I62" s="1" t="s">
        <v>23</v>
      </c>
      <c r="J62" s="1" t="s">
        <v>24</v>
      </c>
      <c r="K62" s="1">
        <v>50.42</v>
      </c>
      <c r="L62" s="1">
        <v>10.74</v>
      </c>
    </row>
    <row r="63" spans="1:12" ht="15.6" x14ac:dyDescent="0.3">
      <c r="A63" s="1" t="s">
        <v>99</v>
      </c>
      <c r="B63" s="1">
        <v>52</v>
      </c>
      <c r="C63" s="1" t="s">
        <v>19</v>
      </c>
      <c r="D63" s="1" t="s">
        <v>30</v>
      </c>
      <c r="E63" s="1" t="s">
        <v>21</v>
      </c>
      <c r="F63" s="1">
        <v>108</v>
      </c>
      <c r="G63" s="1">
        <v>110</v>
      </c>
      <c r="H63" s="1" t="s">
        <v>32</v>
      </c>
      <c r="I63" s="1" t="s">
        <v>23</v>
      </c>
      <c r="J63" s="1" t="s">
        <v>38</v>
      </c>
      <c r="K63" s="1">
        <v>15.03</v>
      </c>
      <c r="L63" s="1">
        <v>41.93</v>
      </c>
    </row>
    <row r="64" spans="1:12" ht="15.6" x14ac:dyDescent="0.3">
      <c r="A64" s="1" t="s">
        <v>100</v>
      </c>
      <c r="B64" s="1">
        <v>15</v>
      </c>
      <c r="C64" s="1" t="s">
        <v>13</v>
      </c>
      <c r="D64" s="1" t="s">
        <v>30</v>
      </c>
      <c r="E64" s="1" t="s">
        <v>21</v>
      </c>
      <c r="F64" s="1">
        <v>419</v>
      </c>
      <c r="G64" s="1">
        <v>31</v>
      </c>
      <c r="H64" s="1" t="s">
        <v>37</v>
      </c>
      <c r="I64" s="1" t="s">
        <v>16</v>
      </c>
      <c r="J64" s="1" t="s">
        <v>17</v>
      </c>
      <c r="K64" s="1">
        <v>71.319999999999993</v>
      </c>
      <c r="L64" s="1">
        <v>28.63</v>
      </c>
    </row>
    <row r="65" spans="1:12" ht="15.6" x14ac:dyDescent="0.3">
      <c r="A65" s="1" t="s">
        <v>101</v>
      </c>
      <c r="B65" s="1">
        <v>16</v>
      </c>
      <c r="C65" s="1" t="s">
        <v>19</v>
      </c>
      <c r="D65" s="1" t="s">
        <v>35</v>
      </c>
      <c r="E65" s="1" t="s">
        <v>36</v>
      </c>
      <c r="F65" s="1">
        <v>433</v>
      </c>
      <c r="G65" s="1">
        <v>433</v>
      </c>
      <c r="H65" s="1" t="s">
        <v>15</v>
      </c>
      <c r="I65" s="1" t="s">
        <v>23</v>
      </c>
      <c r="J65" s="1" t="s">
        <v>24</v>
      </c>
      <c r="K65" s="1">
        <v>31.83</v>
      </c>
      <c r="L65" s="1">
        <v>25.43</v>
      </c>
    </row>
    <row r="66" spans="1:12" ht="15.6" x14ac:dyDescent="0.3">
      <c r="A66" s="1" t="s">
        <v>102</v>
      </c>
      <c r="B66" s="1">
        <v>36</v>
      </c>
      <c r="C66" s="1" t="s">
        <v>26</v>
      </c>
      <c r="D66" s="1" t="s">
        <v>50</v>
      </c>
      <c r="E66" s="1" t="s">
        <v>31</v>
      </c>
      <c r="F66" s="1">
        <v>237</v>
      </c>
      <c r="G66" s="1">
        <v>226</v>
      </c>
      <c r="H66" s="1" t="s">
        <v>48</v>
      </c>
      <c r="I66" s="1" t="s">
        <v>16</v>
      </c>
      <c r="J66" s="1" t="s">
        <v>17</v>
      </c>
      <c r="K66" s="1">
        <v>57.27</v>
      </c>
      <c r="L66" s="1">
        <v>18.93</v>
      </c>
    </row>
    <row r="67" spans="1:12" ht="15.6" x14ac:dyDescent="0.3">
      <c r="A67" s="1" t="s">
        <v>103</v>
      </c>
      <c r="B67" s="1">
        <v>36</v>
      </c>
      <c r="C67" s="1" t="s">
        <v>29</v>
      </c>
      <c r="D67" s="1" t="s">
        <v>20</v>
      </c>
      <c r="E67" s="1" t="s">
        <v>45</v>
      </c>
      <c r="F67" s="1">
        <v>384</v>
      </c>
      <c r="G67" s="1">
        <v>248</v>
      </c>
      <c r="H67" s="1" t="s">
        <v>48</v>
      </c>
      <c r="I67" s="1" t="s">
        <v>23</v>
      </c>
      <c r="J67" s="1" t="s">
        <v>24</v>
      </c>
      <c r="K67" s="1">
        <v>27.33</v>
      </c>
      <c r="L67" s="1">
        <v>56.49</v>
      </c>
    </row>
    <row r="68" spans="1:12" ht="15.6" x14ac:dyDescent="0.3">
      <c r="A68" s="1" t="s">
        <v>104</v>
      </c>
      <c r="B68" s="1">
        <v>55</v>
      </c>
      <c r="C68" s="1" t="s">
        <v>26</v>
      </c>
      <c r="D68" s="1" t="s">
        <v>35</v>
      </c>
      <c r="E68" s="1" t="s">
        <v>40</v>
      </c>
      <c r="F68" s="1">
        <v>532</v>
      </c>
      <c r="G68" s="1">
        <v>431</v>
      </c>
      <c r="H68" s="1" t="s">
        <v>15</v>
      </c>
      <c r="I68" s="1" t="s">
        <v>23</v>
      </c>
      <c r="J68" s="1" t="s">
        <v>38</v>
      </c>
      <c r="K68" s="1">
        <v>61.21</v>
      </c>
      <c r="L68" s="1">
        <v>67.73</v>
      </c>
    </row>
    <row r="69" spans="1:12" ht="15.6" x14ac:dyDescent="0.3">
      <c r="A69" s="1" t="s">
        <v>105</v>
      </c>
      <c r="B69" s="1">
        <v>33</v>
      </c>
      <c r="C69" s="1" t="s">
        <v>13</v>
      </c>
      <c r="D69" s="1" t="s">
        <v>27</v>
      </c>
      <c r="E69" s="1" t="s">
        <v>40</v>
      </c>
      <c r="F69" s="1">
        <v>69</v>
      </c>
      <c r="G69" s="1">
        <v>87</v>
      </c>
      <c r="H69" s="1" t="s">
        <v>48</v>
      </c>
      <c r="I69" s="1" t="s">
        <v>16</v>
      </c>
      <c r="J69" s="1" t="s">
        <v>17</v>
      </c>
      <c r="K69" s="1">
        <v>75.41</v>
      </c>
      <c r="L69" s="1">
        <v>30.94</v>
      </c>
    </row>
    <row r="70" spans="1:12" ht="15.6" x14ac:dyDescent="0.3">
      <c r="A70" s="1" t="s">
        <v>106</v>
      </c>
      <c r="B70" s="1">
        <v>31</v>
      </c>
      <c r="C70" s="1" t="s">
        <v>26</v>
      </c>
      <c r="D70" s="1" t="s">
        <v>30</v>
      </c>
      <c r="E70" s="1" t="s">
        <v>2</v>
      </c>
      <c r="F70" s="1">
        <v>99</v>
      </c>
      <c r="G70" s="1">
        <v>75</v>
      </c>
      <c r="H70" s="1" t="s">
        <v>48</v>
      </c>
      <c r="I70" s="1" t="s">
        <v>23</v>
      </c>
      <c r="J70" s="1" t="s">
        <v>17</v>
      </c>
      <c r="K70" s="1">
        <v>71.400000000000006</v>
      </c>
      <c r="L70" s="1">
        <v>79.06</v>
      </c>
    </row>
    <row r="71" spans="1:12" ht="15.6" x14ac:dyDescent="0.3">
      <c r="A71" s="1" t="s">
        <v>107</v>
      </c>
      <c r="B71" s="1">
        <v>47</v>
      </c>
      <c r="C71" s="1" t="s">
        <v>13</v>
      </c>
      <c r="D71" s="1" t="s">
        <v>30</v>
      </c>
      <c r="E71" s="1" t="s">
        <v>31</v>
      </c>
      <c r="F71" s="1">
        <v>441</v>
      </c>
      <c r="G71" s="1">
        <v>354</v>
      </c>
      <c r="H71" s="1" t="s">
        <v>32</v>
      </c>
      <c r="I71" s="1" t="s">
        <v>23</v>
      </c>
      <c r="J71" s="1" t="s">
        <v>24</v>
      </c>
      <c r="K71" s="1">
        <v>46.61</v>
      </c>
      <c r="L71" s="1">
        <v>62.25</v>
      </c>
    </row>
    <row r="72" spans="1:12" ht="15.6" x14ac:dyDescent="0.3">
      <c r="A72" s="1" t="s">
        <v>108</v>
      </c>
      <c r="B72" s="1">
        <v>34</v>
      </c>
      <c r="C72" s="1" t="s">
        <v>29</v>
      </c>
      <c r="D72" s="1" t="s">
        <v>14</v>
      </c>
      <c r="E72" s="1" t="s">
        <v>40</v>
      </c>
      <c r="F72" s="1">
        <v>447</v>
      </c>
      <c r="G72" s="1">
        <v>160</v>
      </c>
      <c r="H72" s="1" t="s">
        <v>32</v>
      </c>
      <c r="I72" s="1" t="s">
        <v>23</v>
      </c>
      <c r="J72" s="1" t="s">
        <v>24</v>
      </c>
      <c r="K72" s="1">
        <v>68.89</v>
      </c>
      <c r="L72" s="1">
        <v>30.63</v>
      </c>
    </row>
    <row r="73" spans="1:12" ht="15.6" x14ac:dyDescent="0.3">
      <c r="A73" s="1" t="s">
        <v>109</v>
      </c>
      <c r="B73" s="1">
        <v>49</v>
      </c>
      <c r="C73" s="1" t="s">
        <v>29</v>
      </c>
      <c r="D73" s="1" t="s">
        <v>35</v>
      </c>
      <c r="E73" s="1" t="s">
        <v>21</v>
      </c>
      <c r="F73" s="1">
        <v>518</v>
      </c>
      <c r="G73" s="1">
        <v>7</v>
      </c>
      <c r="H73" s="1" t="s">
        <v>15</v>
      </c>
      <c r="I73" s="1" t="s">
        <v>23</v>
      </c>
      <c r="J73" s="1" t="s">
        <v>38</v>
      </c>
      <c r="K73" s="1">
        <v>43.73</v>
      </c>
      <c r="L73" s="1">
        <v>34.06</v>
      </c>
    </row>
    <row r="74" spans="1:12" ht="15.6" x14ac:dyDescent="0.3">
      <c r="A74" s="1" t="s">
        <v>110</v>
      </c>
      <c r="B74" s="1">
        <v>27</v>
      </c>
      <c r="C74" s="1" t="s">
        <v>19</v>
      </c>
      <c r="D74" s="1" t="s">
        <v>14</v>
      </c>
      <c r="E74" s="1" t="s">
        <v>31</v>
      </c>
      <c r="F74" s="1">
        <v>391</v>
      </c>
      <c r="G74" s="1">
        <v>429</v>
      </c>
      <c r="H74" s="1" t="s">
        <v>22</v>
      </c>
      <c r="I74" s="1" t="s">
        <v>23</v>
      </c>
      <c r="J74" s="1" t="s">
        <v>38</v>
      </c>
      <c r="K74" s="1">
        <v>88.61</v>
      </c>
      <c r="L74" s="1">
        <v>52.23</v>
      </c>
    </row>
    <row r="75" spans="1:12" ht="15.6" x14ac:dyDescent="0.3">
      <c r="A75" s="1" t="s">
        <v>111</v>
      </c>
      <c r="B75" s="1">
        <v>23</v>
      </c>
      <c r="C75" s="1" t="s">
        <v>26</v>
      </c>
      <c r="D75" s="1" t="s">
        <v>20</v>
      </c>
      <c r="E75" s="1" t="s">
        <v>21</v>
      </c>
      <c r="F75" s="1">
        <v>410</v>
      </c>
      <c r="G75" s="1">
        <v>363</v>
      </c>
      <c r="H75" s="1" t="s">
        <v>15</v>
      </c>
      <c r="I75" s="1" t="s">
        <v>23</v>
      </c>
      <c r="J75" s="1" t="s">
        <v>38</v>
      </c>
      <c r="K75" s="1">
        <v>23.44</v>
      </c>
      <c r="L75" s="1">
        <v>65.650000000000006</v>
      </c>
    </row>
    <row r="76" spans="1:12" ht="15.6" x14ac:dyDescent="0.3">
      <c r="A76" s="1" t="s">
        <v>112</v>
      </c>
      <c r="B76" s="1">
        <v>51</v>
      </c>
      <c r="C76" s="1" t="s">
        <v>29</v>
      </c>
      <c r="D76" s="1" t="s">
        <v>35</v>
      </c>
      <c r="E76" s="1" t="s">
        <v>40</v>
      </c>
      <c r="F76" s="1">
        <v>441</v>
      </c>
      <c r="G76" s="1">
        <v>80</v>
      </c>
      <c r="H76" s="1" t="s">
        <v>37</v>
      </c>
      <c r="I76" s="1" t="s">
        <v>16</v>
      </c>
      <c r="J76" s="1" t="s">
        <v>38</v>
      </c>
      <c r="K76" s="1">
        <v>56.12</v>
      </c>
      <c r="L76" s="1">
        <v>46.19</v>
      </c>
    </row>
    <row r="77" spans="1:12" ht="15.6" x14ac:dyDescent="0.3">
      <c r="A77" s="1" t="s">
        <v>113</v>
      </c>
      <c r="B77" s="1">
        <v>27</v>
      </c>
      <c r="C77" s="1" t="s">
        <v>19</v>
      </c>
      <c r="D77" s="1" t="s">
        <v>50</v>
      </c>
      <c r="E77" s="1" t="s">
        <v>2</v>
      </c>
      <c r="F77" s="1">
        <v>202</v>
      </c>
      <c r="G77" s="1">
        <v>127</v>
      </c>
      <c r="H77" s="1" t="s">
        <v>32</v>
      </c>
      <c r="I77" s="1" t="s">
        <v>16</v>
      </c>
      <c r="J77" s="1" t="s">
        <v>17</v>
      </c>
      <c r="K77" s="1">
        <v>71.78</v>
      </c>
      <c r="L77" s="1">
        <v>58.01</v>
      </c>
    </row>
    <row r="78" spans="1:12" ht="15.6" x14ac:dyDescent="0.3">
      <c r="A78" s="1" t="s">
        <v>114</v>
      </c>
      <c r="B78" s="1">
        <v>26</v>
      </c>
      <c r="C78" s="1" t="s">
        <v>13</v>
      </c>
      <c r="D78" s="1" t="s">
        <v>14</v>
      </c>
      <c r="E78" s="1" t="s">
        <v>40</v>
      </c>
      <c r="F78" s="1">
        <v>402</v>
      </c>
      <c r="G78" s="1">
        <v>240</v>
      </c>
      <c r="H78" s="1" t="s">
        <v>22</v>
      </c>
      <c r="I78" s="1" t="s">
        <v>16</v>
      </c>
      <c r="J78" s="1" t="s">
        <v>38</v>
      </c>
      <c r="K78" s="1">
        <v>79.37</v>
      </c>
      <c r="L78" s="1">
        <v>12.58</v>
      </c>
    </row>
    <row r="79" spans="1:12" ht="15.6" x14ac:dyDescent="0.3">
      <c r="A79" s="1" t="s">
        <v>115</v>
      </c>
      <c r="B79" s="1">
        <v>35</v>
      </c>
      <c r="C79" s="1" t="s">
        <v>34</v>
      </c>
      <c r="D79" s="1" t="s">
        <v>30</v>
      </c>
      <c r="E79" s="1" t="s">
        <v>31</v>
      </c>
      <c r="F79" s="1">
        <v>50</v>
      </c>
      <c r="G79" s="1">
        <v>143</v>
      </c>
      <c r="H79" s="1" t="s">
        <v>32</v>
      </c>
      <c r="I79" s="1" t="s">
        <v>23</v>
      </c>
      <c r="J79" s="1" t="s">
        <v>24</v>
      </c>
      <c r="K79" s="1">
        <v>23.56</v>
      </c>
      <c r="L79" s="1">
        <v>25.88</v>
      </c>
    </row>
    <row r="80" spans="1:12" ht="15.6" x14ac:dyDescent="0.3">
      <c r="A80" s="1" t="s">
        <v>116</v>
      </c>
      <c r="B80" s="1">
        <v>60</v>
      </c>
      <c r="C80" s="1" t="s">
        <v>34</v>
      </c>
      <c r="D80" s="1" t="s">
        <v>20</v>
      </c>
      <c r="E80" s="1" t="s">
        <v>21</v>
      </c>
      <c r="F80" s="1">
        <v>112</v>
      </c>
      <c r="G80" s="1">
        <v>222</v>
      </c>
      <c r="H80" s="1" t="s">
        <v>22</v>
      </c>
      <c r="I80" s="1" t="s">
        <v>16</v>
      </c>
      <c r="J80" s="1" t="s">
        <v>17</v>
      </c>
      <c r="K80" s="1">
        <v>43.07</v>
      </c>
      <c r="L80" s="1">
        <v>22.33</v>
      </c>
    </row>
    <row r="81" spans="1:12" ht="15.6" x14ac:dyDescent="0.3">
      <c r="A81" s="1" t="s">
        <v>117</v>
      </c>
      <c r="B81" s="1">
        <v>58</v>
      </c>
      <c r="C81" s="1" t="s">
        <v>29</v>
      </c>
      <c r="D81" s="1" t="s">
        <v>30</v>
      </c>
      <c r="E81" s="1" t="s">
        <v>31</v>
      </c>
      <c r="F81" s="1">
        <v>360</v>
      </c>
      <c r="G81" s="1">
        <v>154</v>
      </c>
      <c r="H81" s="1" t="s">
        <v>32</v>
      </c>
      <c r="I81" s="1" t="s">
        <v>23</v>
      </c>
      <c r="J81" s="1" t="s">
        <v>38</v>
      </c>
      <c r="K81" s="1">
        <v>46.14</v>
      </c>
      <c r="L81" s="1">
        <v>44.09</v>
      </c>
    </row>
    <row r="82" spans="1:12" ht="15.6" x14ac:dyDescent="0.3">
      <c r="A82" s="1" t="s">
        <v>118</v>
      </c>
      <c r="B82" s="1">
        <v>30</v>
      </c>
      <c r="C82" s="1" t="s">
        <v>34</v>
      </c>
      <c r="D82" s="1" t="s">
        <v>50</v>
      </c>
      <c r="E82" s="1" t="s">
        <v>2</v>
      </c>
      <c r="F82" s="1">
        <v>564</v>
      </c>
      <c r="G82" s="1">
        <v>217</v>
      </c>
      <c r="H82" s="1" t="s">
        <v>22</v>
      </c>
      <c r="I82" s="1" t="s">
        <v>16</v>
      </c>
      <c r="J82" s="1" t="s">
        <v>17</v>
      </c>
      <c r="K82" s="1">
        <v>86.18</v>
      </c>
      <c r="L82" s="1">
        <v>58.16</v>
      </c>
    </row>
    <row r="83" spans="1:12" ht="15.6" x14ac:dyDescent="0.3">
      <c r="A83" s="1" t="s">
        <v>119</v>
      </c>
      <c r="B83" s="1">
        <v>52</v>
      </c>
      <c r="C83" s="1" t="s">
        <v>29</v>
      </c>
      <c r="D83" s="1" t="s">
        <v>35</v>
      </c>
      <c r="E83" s="1" t="s">
        <v>45</v>
      </c>
      <c r="F83" s="1">
        <v>393</v>
      </c>
      <c r="G83" s="1">
        <v>157</v>
      </c>
      <c r="H83" s="1" t="s">
        <v>32</v>
      </c>
      <c r="I83" s="1" t="s">
        <v>16</v>
      </c>
      <c r="J83" s="1" t="s">
        <v>17</v>
      </c>
      <c r="K83" s="1">
        <v>19.02</v>
      </c>
      <c r="L83" s="1">
        <v>12.1</v>
      </c>
    </row>
    <row r="84" spans="1:12" ht="15.6" x14ac:dyDescent="0.3">
      <c r="A84" s="1" t="s">
        <v>120</v>
      </c>
      <c r="B84" s="1">
        <v>26</v>
      </c>
      <c r="C84" s="1" t="s">
        <v>34</v>
      </c>
      <c r="D84" s="1" t="s">
        <v>35</v>
      </c>
      <c r="E84" s="1" t="s">
        <v>45</v>
      </c>
      <c r="F84" s="1">
        <v>494</v>
      </c>
      <c r="G84" s="1">
        <v>212</v>
      </c>
      <c r="H84" s="1" t="s">
        <v>48</v>
      </c>
      <c r="I84" s="1" t="s">
        <v>23</v>
      </c>
      <c r="J84" s="1" t="s">
        <v>24</v>
      </c>
      <c r="K84" s="1">
        <v>43.82</v>
      </c>
      <c r="L84" s="1">
        <v>75.569999999999993</v>
      </c>
    </row>
    <row r="85" spans="1:12" ht="15.6" x14ac:dyDescent="0.3">
      <c r="A85" s="1" t="s">
        <v>121</v>
      </c>
      <c r="B85" s="1">
        <v>26</v>
      </c>
      <c r="C85" s="1" t="s">
        <v>26</v>
      </c>
      <c r="D85" s="1" t="s">
        <v>30</v>
      </c>
      <c r="E85" s="1" t="s">
        <v>45</v>
      </c>
      <c r="F85" s="1">
        <v>196</v>
      </c>
      <c r="G85" s="1">
        <v>24</v>
      </c>
      <c r="H85" s="1" t="s">
        <v>15</v>
      </c>
      <c r="I85" s="1" t="s">
        <v>23</v>
      </c>
      <c r="J85" s="1" t="s">
        <v>38</v>
      </c>
      <c r="K85" s="1">
        <v>69.260000000000005</v>
      </c>
      <c r="L85" s="1">
        <v>74.61</v>
      </c>
    </row>
    <row r="86" spans="1:12" ht="15.6" x14ac:dyDescent="0.3">
      <c r="A86" s="1" t="s">
        <v>122</v>
      </c>
      <c r="B86" s="1">
        <v>20</v>
      </c>
      <c r="C86" s="1" t="s">
        <v>13</v>
      </c>
      <c r="D86" s="1" t="s">
        <v>50</v>
      </c>
      <c r="E86" s="1" t="s">
        <v>21</v>
      </c>
      <c r="F86" s="1">
        <v>190</v>
      </c>
      <c r="G86" s="1">
        <v>69</v>
      </c>
      <c r="H86" s="1" t="s">
        <v>48</v>
      </c>
      <c r="I86" s="1" t="s">
        <v>23</v>
      </c>
      <c r="J86" s="1" t="s">
        <v>38</v>
      </c>
      <c r="K86" s="1">
        <v>85.43</v>
      </c>
      <c r="L86" s="1">
        <v>73.73</v>
      </c>
    </row>
    <row r="87" spans="1:12" ht="15.6" x14ac:dyDescent="0.3">
      <c r="A87" s="1" t="s">
        <v>123</v>
      </c>
      <c r="B87" s="1">
        <v>52</v>
      </c>
      <c r="C87" s="1" t="s">
        <v>13</v>
      </c>
      <c r="D87" s="1" t="s">
        <v>50</v>
      </c>
      <c r="E87" s="1" t="s">
        <v>2</v>
      </c>
      <c r="F87" s="1">
        <v>262</v>
      </c>
      <c r="G87" s="1">
        <v>119</v>
      </c>
      <c r="H87" s="1" t="s">
        <v>32</v>
      </c>
      <c r="I87" s="1" t="s">
        <v>16</v>
      </c>
      <c r="J87" s="1" t="s">
        <v>24</v>
      </c>
      <c r="K87" s="1">
        <v>49.19</v>
      </c>
      <c r="L87" s="1">
        <v>74.010000000000005</v>
      </c>
    </row>
    <row r="88" spans="1:12" ht="15.6" x14ac:dyDescent="0.3">
      <c r="A88" s="1" t="s">
        <v>124</v>
      </c>
      <c r="B88" s="1">
        <v>22</v>
      </c>
      <c r="C88" s="1" t="s">
        <v>13</v>
      </c>
      <c r="D88" s="1" t="s">
        <v>20</v>
      </c>
      <c r="E88" s="1" t="s">
        <v>31</v>
      </c>
      <c r="F88" s="1">
        <v>477</v>
      </c>
      <c r="G88" s="1">
        <v>183</v>
      </c>
      <c r="H88" s="1" t="s">
        <v>32</v>
      </c>
      <c r="I88" s="1" t="s">
        <v>16</v>
      </c>
      <c r="J88" s="1" t="s">
        <v>38</v>
      </c>
      <c r="K88" s="1">
        <v>47.47</v>
      </c>
      <c r="L88" s="1">
        <v>52.97</v>
      </c>
    </row>
    <row r="89" spans="1:12" ht="15.6" x14ac:dyDescent="0.3">
      <c r="A89" s="1" t="s">
        <v>125</v>
      </c>
      <c r="B89" s="1">
        <v>18</v>
      </c>
      <c r="C89" s="1" t="s">
        <v>34</v>
      </c>
      <c r="D89" s="1" t="s">
        <v>50</v>
      </c>
      <c r="E89" s="1" t="s">
        <v>45</v>
      </c>
      <c r="F89" s="1">
        <v>363</v>
      </c>
      <c r="G89" s="1">
        <v>202</v>
      </c>
      <c r="H89" s="1" t="s">
        <v>15</v>
      </c>
      <c r="I89" s="1" t="s">
        <v>23</v>
      </c>
      <c r="J89" s="1" t="s">
        <v>17</v>
      </c>
      <c r="K89" s="1">
        <v>45.97</v>
      </c>
      <c r="L89" s="1">
        <v>72.430000000000007</v>
      </c>
    </row>
    <row r="90" spans="1:12" ht="15.6" x14ac:dyDescent="0.3">
      <c r="A90" s="1" t="s">
        <v>126</v>
      </c>
      <c r="B90" s="1">
        <v>32</v>
      </c>
      <c r="C90" s="1" t="s">
        <v>29</v>
      </c>
      <c r="D90" s="1" t="s">
        <v>30</v>
      </c>
      <c r="E90" s="1" t="s">
        <v>2</v>
      </c>
      <c r="F90" s="1">
        <v>293</v>
      </c>
      <c r="G90" s="1">
        <v>3</v>
      </c>
      <c r="H90" s="1" t="s">
        <v>32</v>
      </c>
      <c r="I90" s="1" t="s">
        <v>16</v>
      </c>
      <c r="J90" s="1" t="s">
        <v>17</v>
      </c>
      <c r="K90" s="1">
        <v>81.02</v>
      </c>
      <c r="L90" s="1">
        <v>63.8</v>
      </c>
    </row>
    <row r="91" spans="1:12" ht="15.6" x14ac:dyDescent="0.3">
      <c r="A91" s="1" t="s">
        <v>127</v>
      </c>
      <c r="B91" s="1">
        <v>53</v>
      </c>
      <c r="C91" s="1" t="s">
        <v>34</v>
      </c>
      <c r="D91" s="1" t="s">
        <v>20</v>
      </c>
      <c r="E91" s="1" t="s">
        <v>45</v>
      </c>
      <c r="F91" s="1">
        <v>152</v>
      </c>
      <c r="G91" s="1">
        <v>348</v>
      </c>
      <c r="H91" s="1" t="s">
        <v>15</v>
      </c>
      <c r="I91" s="1" t="s">
        <v>23</v>
      </c>
      <c r="J91" s="1" t="s">
        <v>24</v>
      </c>
      <c r="K91" s="1">
        <v>40.520000000000003</v>
      </c>
      <c r="L91" s="1">
        <v>17.78</v>
      </c>
    </row>
    <row r="92" spans="1:12" ht="15.6" x14ac:dyDescent="0.3">
      <c r="A92" s="1" t="s">
        <v>128</v>
      </c>
      <c r="B92" s="1">
        <v>48</v>
      </c>
      <c r="C92" s="1" t="s">
        <v>19</v>
      </c>
      <c r="D92" s="1" t="s">
        <v>20</v>
      </c>
      <c r="E92" s="1" t="s">
        <v>21</v>
      </c>
      <c r="F92" s="1">
        <v>74</v>
      </c>
      <c r="G92" s="1">
        <v>343</v>
      </c>
      <c r="H92" s="1" t="s">
        <v>48</v>
      </c>
      <c r="I92" s="1" t="s">
        <v>16</v>
      </c>
      <c r="J92" s="1" t="s">
        <v>38</v>
      </c>
      <c r="K92" s="1">
        <v>71.19</v>
      </c>
      <c r="L92" s="1">
        <v>64.81</v>
      </c>
    </row>
    <row r="93" spans="1:12" ht="15.6" x14ac:dyDescent="0.3">
      <c r="A93" s="1" t="s">
        <v>129</v>
      </c>
      <c r="B93" s="1">
        <v>46</v>
      </c>
      <c r="C93" s="1" t="s">
        <v>29</v>
      </c>
      <c r="D93" s="1" t="s">
        <v>50</v>
      </c>
      <c r="E93" s="1" t="s">
        <v>40</v>
      </c>
      <c r="F93" s="1">
        <v>253</v>
      </c>
      <c r="G93" s="1">
        <v>105</v>
      </c>
      <c r="H93" s="1" t="s">
        <v>15</v>
      </c>
      <c r="I93" s="1" t="s">
        <v>23</v>
      </c>
      <c r="J93" s="1" t="s">
        <v>17</v>
      </c>
      <c r="K93" s="1">
        <v>34.58</v>
      </c>
      <c r="L93" s="1">
        <v>76.69</v>
      </c>
    </row>
    <row r="94" spans="1:12" ht="15.6" x14ac:dyDescent="0.3">
      <c r="A94" s="1" t="s">
        <v>130</v>
      </c>
      <c r="B94" s="1">
        <v>20</v>
      </c>
      <c r="C94" s="1" t="s">
        <v>13</v>
      </c>
      <c r="D94" s="1" t="s">
        <v>35</v>
      </c>
      <c r="E94" s="1" t="s">
        <v>40</v>
      </c>
      <c r="F94" s="1">
        <v>395</v>
      </c>
      <c r="G94" s="1">
        <v>223</v>
      </c>
      <c r="H94" s="1" t="s">
        <v>37</v>
      </c>
      <c r="I94" s="1" t="s">
        <v>16</v>
      </c>
      <c r="J94" s="1" t="s">
        <v>24</v>
      </c>
      <c r="K94" s="1">
        <v>31</v>
      </c>
      <c r="L94" s="1">
        <v>11.77</v>
      </c>
    </row>
    <row r="95" spans="1:12" ht="15.6" x14ac:dyDescent="0.3">
      <c r="A95" s="1" t="s">
        <v>131</v>
      </c>
      <c r="B95" s="1">
        <v>51</v>
      </c>
      <c r="C95" s="1" t="s">
        <v>29</v>
      </c>
      <c r="D95" s="1" t="s">
        <v>20</v>
      </c>
      <c r="E95" s="1" t="s">
        <v>2</v>
      </c>
      <c r="F95" s="1">
        <v>89</v>
      </c>
      <c r="G95" s="1">
        <v>290</v>
      </c>
      <c r="H95" s="1" t="s">
        <v>32</v>
      </c>
      <c r="I95" s="1" t="s">
        <v>23</v>
      </c>
      <c r="J95" s="1" t="s">
        <v>24</v>
      </c>
      <c r="K95" s="1">
        <v>72.900000000000006</v>
      </c>
      <c r="L95" s="1">
        <v>42.98</v>
      </c>
    </row>
    <row r="96" spans="1:12" ht="15.6" x14ac:dyDescent="0.3">
      <c r="A96" s="1" t="s">
        <v>132</v>
      </c>
      <c r="B96" s="1">
        <v>57</v>
      </c>
      <c r="C96" s="1" t="s">
        <v>19</v>
      </c>
      <c r="D96" s="1" t="s">
        <v>20</v>
      </c>
      <c r="E96" s="1" t="s">
        <v>2</v>
      </c>
      <c r="F96" s="1">
        <v>92</v>
      </c>
      <c r="G96" s="1">
        <v>366</v>
      </c>
      <c r="H96" s="1" t="s">
        <v>32</v>
      </c>
      <c r="I96" s="1" t="s">
        <v>23</v>
      </c>
      <c r="J96" s="1" t="s">
        <v>38</v>
      </c>
      <c r="K96" s="1">
        <v>16.940000000000001</v>
      </c>
      <c r="L96" s="1">
        <v>47.39</v>
      </c>
    </row>
    <row r="97" spans="1:12" ht="15.6" x14ac:dyDescent="0.3">
      <c r="A97" s="1" t="s">
        <v>133</v>
      </c>
      <c r="B97" s="1">
        <v>57</v>
      </c>
      <c r="C97" s="1" t="s">
        <v>26</v>
      </c>
      <c r="D97" s="1" t="s">
        <v>30</v>
      </c>
      <c r="E97" s="1" t="s">
        <v>2</v>
      </c>
      <c r="F97" s="1">
        <v>27</v>
      </c>
      <c r="G97" s="1">
        <v>133</v>
      </c>
      <c r="H97" s="1" t="s">
        <v>15</v>
      </c>
      <c r="I97" s="1" t="s">
        <v>23</v>
      </c>
      <c r="J97" s="1" t="s">
        <v>38</v>
      </c>
      <c r="K97" s="1">
        <v>78.87</v>
      </c>
      <c r="L97" s="1">
        <v>38.5</v>
      </c>
    </row>
    <row r="98" spans="1:12" ht="15.6" x14ac:dyDescent="0.3">
      <c r="A98" s="1" t="s">
        <v>134</v>
      </c>
      <c r="B98" s="1">
        <v>28</v>
      </c>
      <c r="C98" s="1" t="s">
        <v>26</v>
      </c>
      <c r="D98" s="1" t="s">
        <v>35</v>
      </c>
      <c r="E98" s="1" t="s">
        <v>31</v>
      </c>
      <c r="F98" s="1">
        <v>149</v>
      </c>
      <c r="G98" s="1">
        <v>87</v>
      </c>
      <c r="H98" s="1" t="s">
        <v>32</v>
      </c>
      <c r="I98" s="1" t="s">
        <v>16</v>
      </c>
      <c r="J98" s="1" t="s">
        <v>17</v>
      </c>
      <c r="K98" s="1">
        <v>30.74</v>
      </c>
      <c r="L98" s="1">
        <v>33.93</v>
      </c>
    </row>
    <row r="99" spans="1:12" ht="15.6" x14ac:dyDescent="0.3">
      <c r="A99" s="1" t="s">
        <v>135</v>
      </c>
      <c r="B99" s="1">
        <v>55</v>
      </c>
      <c r="C99" s="1" t="s">
        <v>19</v>
      </c>
      <c r="D99" s="1" t="s">
        <v>14</v>
      </c>
      <c r="E99" s="1" t="s">
        <v>40</v>
      </c>
      <c r="F99" s="1">
        <v>141</v>
      </c>
      <c r="G99" s="1">
        <v>119</v>
      </c>
      <c r="H99" s="1" t="s">
        <v>15</v>
      </c>
      <c r="I99" s="1" t="s">
        <v>23</v>
      </c>
      <c r="J99" s="1" t="s">
        <v>17</v>
      </c>
      <c r="K99" s="1">
        <v>86.18</v>
      </c>
      <c r="L99" s="1">
        <v>23.25</v>
      </c>
    </row>
    <row r="100" spans="1:12" ht="15.6" x14ac:dyDescent="0.3">
      <c r="A100" s="1" t="s">
        <v>136</v>
      </c>
      <c r="B100" s="1">
        <v>59</v>
      </c>
      <c r="C100" s="1" t="s">
        <v>19</v>
      </c>
      <c r="D100" s="1" t="s">
        <v>30</v>
      </c>
      <c r="E100" s="1" t="s">
        <v>2</v>
      </c>
      <c r="F100" s="1">
        <v>10</v>
      </c>
      <c r="G100" s="1">
        <v>352</v>
      </c>
      <c r="H100" s="1" t="s">
        <v>15</v>
      </c>
      <c r="I100" s="1" t="s">
        <v>16</v>
      </c>
      <c r="J100" s="1" t="s">
        <v>17</v>
      </c>
      <c r="K100" s="1">
        <v>15</v>
      </c>
      <c r="L100" s="1">
        <v>77.400000000000006</v>
      </c>
    </row>
    <row r="101" spans="1:12" ht="15.6" x14ac:dyDescent="0.3">
      <c r="A101" s="1" t="s">
        <v>137</v>
      </c>
      <c r="B101" s="1">
        <v>51</v>
      </c>
      <c r="C101" s="1" t="s">
        <v>26</v>
      </c>
      <c r="D101" s="1" t="s">
        <v>30</v>
      </c>
      <c r="E101" s="1" t="s">
        <v>31</v>
      </c>
      <c r="F101" s="1">
        <v>343</v>
      </c>
      <c r="G101" s="1">
        <v>104</v>
      </c>
      <c r="H101" s="1" t="s">
        <v>22</v>
      </c>
      <c r="I101" s="1" t="s">
        <v>16</v>
      </c>
      <c r="J101" s="1" t="s">
        <v>17</v>
      </c>
      <c r="K101" s="1">
        <v>37.33</v>
      </c>
      <c r="L101" s="1">
        <v>12.97</v>
      </c>
    </row>
    <row r="102" spans="1:12" ht="15.6" x14ac:dyDescent="0.3">
      <c r="A102" s="1" t="s">
        <v>138</v>
      </c>
      <c r="B102" s="1">
        <v>46</v>
      </c>
      <c r="C102" s="1" t="s">
        <v>34</v>
      </c>
      <c r="D102" s="1" t="s">
        <v>50</v>
      </c>
      <c r="E102" s="1" t="s">
        <v>21</v>
      </c>
      <c r="F102" s="1">
        <v>47</v>
      </c>
      <c r="G102" s="1">
        <v>225</v>
      </c>
      <c r="H102" s="1" t="s">
        <v>32</v>
      </c>
      <c r="I102" s="1" t="s">
        <v>16</v>
      </c>
      <c r="J102" s="1" t="s">
        <v>24</v>
      </c>
      <c r="K102" s="1">
        <v>36.26</v>
      </c>
      <c r="L102" s="1">
        <v>78.040000000000006</v>
      </c>
    </row>
    <row r="103" spans="1:12" ht="15.6" x14ac:dyDescent="0.3">
      <c r="A103" s="1" t="s">
        <v>139</v>
      </c>
      <c r="B103" s="1">
        <v>22</v>
      </c>
      <c r="C103" s="1" t="s">
        <v>34</v>
      </c>
      <c r="D103" s="1" t="s">
        <v>20</v>
      </c>
      <c r="E103" s="1" t="s">
        <v>2</v>
      </c>
      <c r="F103" s="1">
        <v>395</v>
      </c>
      <c r="G103" s="1">
        <v>151</v>
      </c>
      <c r="H103" s="1" t="s">
        <v>15</v>
      </c>
      <c r="I103" s="1" t="s">
        <v>23</v>
      </c>
      <c r="J103" s="1" t="s">
        <v>17</v>
      </c>
      <c r="K103" s="1">
        <v>26.86</v>
      </c>
      <c r="L103" s="1">
        <v>70.040000000000006</v>
      </c>
    </row>
    <row r="104" spans="1:12" ht="15.6" x14ac:dyDescent="0.3">
      <c r="A104" s="1" t="s">
        <v>140</v>
      </c>
      <c r="B104" s="1">
        <v>39</v>
      </c>
      <c r="C104" s="1" t="s">
        <v>13</v>
      </c>
      <c r="D104" s="1" t="s">
        <v>20</v>
      </c>
      <c r="E104" s="1" t="s">
        <v>40</v>
      </c>
      <c r="F104" s="1">
        <v>176</v>
      </c>
      <c r="G104" s="1">
        <v>192</v>
      </c>
      <c r="H104" s="1" t="s">
        <v>37</v>
      </c>
      <c r="I104" s="1" t="s">
        <v>23</v>
      </c>
      <c r="J104" s="1" t="s">
        <v>38</v>
      </c>
      <c r="K104" s="1">
        <v>76.86</v>
      </c>
      <c r="L104" s="1">
        <v>35.17</v>
      </c>
    </row>
    <row r="105" spans="1:12" ht="15.6" x14ac:dyDescent="0.3">
      <c r="A105" s="1" t="s">
        <v>141</v>
      </c>
      <c r="B105" s="1">
        <v>37</v>
      </c>
      <c r="C105" s="1" t="s">
        <v>19</v>
      </c>
      <c r="D105" s="1" t="s">
        <v>30</v>
      </c>
      <c r="E105" s="1" t="s">
        <v>21</v>
      </c>
      <c r="F105" s="1">
        <v>307</v>
      </c>
      <c r="G105" s="1">
        <v>213</v>
      </c>
      <c r="H105" s="1" t="s">
        <v>15</v>
      </c>
      <c r="I105" s="1" t="s">
        <v>16</v>
      </c>
      <c r="J105" s="1" t="s">
        <v>17</v>
      </c>
      <c r="K105" s="1">
        <v>42.49</v>
      </c>
      <c r="L105" s="1">
        <v>74.47</v>
      </c>
    </row>
    <row r="106" spans="1:12" ht="15.6" x14ac:dyDescent="0.3">
      <c r="A106" s="1" t="s">
        <v>142</v>
      </c>
      <c r="B106" s="1">
        <v>21</v>
      </c>
      <c r="C106" s="1" t="s">
        <v>19</v>
      </c>
      <c r="D106" s="1" t="s">
        <v>20</v>
      </c>
      <c r="E106" s="1" t="s">
        <v>2</v>
      </c>
      <c r="F106" s="1">
        <v>314</v>
      </c>
      <c r="G106" s="1">
        <v>187</v>
      </c>
      <c r="H106" s="1" t="s">
        <v>37</v>
      </c>
      <c r="I106" s="1" t="s">
        <v>16</v>
      </c>
      <c r="J106" s="1" t="s">
        <v>24</v>
      </c>
      <c r="K106" s="1">
        <v>72.89</v>
      </c>
      <c r="L106" s="1">
        <v>33.26</v>
      </c>
    </row>
    <row r="107" spans="1:12" ht="15.6" x14ac:dyDescent="0.3">
      <c r="A107" s="1" t="s">
        <v>143</v>
      </c>
      <c r="B107" s="1">
        <v>44</v>
      </c>
      <c r="C107" s="1" t="s">
        <v>34</v>
      </c>
      <c r="D107" s="1" t="s">
        <v>30</v>
      </c>
      <c r="E107" s="1" t="s">
        <v>36</v>
      </c>
      <c r="F107" s="1">
        <v>234</v>
      </c>
      <c r="G107" s="1">
        <v>166</v>
      </c>
      <c r="H107" s="1" t="s">
        <v>32</v>
      </c>
      <c r="I107" s="1" t="s">
        <v>23</v>
      </c>
      <c r="J107" s="1" t="s">
        <v>17</v>
      </c>
      <c r="K107" s="1">
        <v>29.75</v>
      </c>
      <c r="L107" s="1">
        <v>47.67</v>
      </c>
    </row>
    <row r="108" spans="1:12" ht="15.6" x14ac:dyDescent="0.3">
      <c r="A108" s="1" t="s">
        <v>144</v>
      </c>
      <c r="B108" s="1">
        <v>45</v>
      </c>
      <c r="C108" s="1" t="s">
        <v>19</v>
      </c>
      <c r="D108" s="1" t="s">
        <v>35</v>
      </c>
      <c r="E108" s="1" t="s">
        <v>45</v>
      </c>
      <c r="F108" s="1">
        <v>503</v>
      </c>
      <c r="G108" s="1">
        <v>235</v>
      </c>
      <c r="H108" s="1" t="s">
        <v>15</v>
      </c>
      <c r="I108" s="1" t="s">
        <v>16</v>
      </c>
      <c r="J108" s="1" t="s">
        <v>38</v>
      </c>
      <c r="K108" s="1">
        <v>61.38</v>
      </c>
      <c r="L108" s="1">
        <v>44.54</v>
      </c>
    </row>
    <row r="109" spans="1:12" ht="15.6" x14ac:dyDescent="0.3">
      <c r="A109" s="1" t="s">
        <v>145</v>
      </c>
      <c r="B109" s="1">
        <v>13</v>
      </c>
      <c r="C109" s="1" t="s">
        <v>26</v>
      </c>
      <c r="D109" s="1" t="s">
        <v>20</v>
      </c>
      <c r="E109" s="1" t="s">
        <v>36</v>
      </c>
      <c r="F109" s="1">
        <v>483</v>
      </c>
      <c r="G109" s="1">
        <v>14</v>
      </c>
      <c r="H109" s="1" t="s">
        <v>48</v>
      </c>
      <c r="I109" s="1" t="s">
        <v>23</v>
      </c>
      <c r="J109" s="1" t="s">
        <v>38</v>
      </c>
      <c r="K109" s="1">
        <v>33.94</v>
      </c>
      <c r="L109" s="1">
        <v>73.680000000000007</v>
      </c>
    </row>
    <row r="110" spans="1:12" ht="15.6" x14ac:dyDescent="0.3">
      <c r="A110" s="1" t="s">
        <v>146</v>
      </c>
      <c r="B110" s="1">
        <v>55</v>
      </c>
      <c r="C110" s="1" t="s">
        <v>26</v>
      </c>
      <c r="D110" s="1" t="s">
        <v>35</v>
      </c>
      <c r="E110" s="1" t="s">
        <v>2</v>
      </c>
      <c r="F110" s="1">
        <v>34</v>
      </c>
      <c r="G110" s="1">
        <v>108</v>
      </c>
      <c r="H110" s="1" t="s">
        <v>22</v>
      </c>
      <c r="I110" s="1" t="s">
        <v>23</v>
      </c>
      <c r="J110" s="1" t="s">
        <v>38</v>
      </c>
      <c r="K110" s="1">
        <v>23.3</v>
      </c>
      <c r="L110" s="1">
        <v>9.24</v>
      </c>
    </row>
    <row r="111" spans="1:12" ht="15.6" x14ac:dyDescent="0.3">
      <c r="A111" s="1" t="s">
        <v>147</v>
      </c>
      <c r="B111" s="1">
        <v>56</v>
      </c>
      <c r="C111" s="1" t="s">
        <v>19</v>
      </c>
      <c r="D111" s="1" t="s">
        <v>27</v>
      </c>
      <c r="E111" s="1" t="s">
        <v>40</v>
      </c>
      <c r="F111" s="1">
        <v>575</v>
      </c>
      <c r="G111" s="1">
        <v>262</v>
      </c>
      <c r="H111" s="1" t="s">
        <v>15</v>
      </c>
      <c r="I111" s="1" t="s">
        <v>16</v>
      </c>
      <c r="J111" s="1" t="s">
        <v>17</v>
      </c>
      <c r="K111" s="1">
        <v>33.299999999999997</v>
      </c>
      <c r="L111" s="1">
        <v>18.97</v>
      </c>
    </row>
    <row r="112" spans="1:12" ht="15.6" x14ac:dyDescent="0.3">
      <c r="A112" s="1" t="s">
        <v>148</v>
      </c>
      <c r="B112" s="1">
        <v>59</v>
      </c>
      <c r="C112" s="1" t="s">
        <v>26</v>
      </c>
      <c r="D112" s="1" t="s">
        <v>35</v>
      </c>
      <c r="E112" s="1" t="s">
        <v>36</v>
      </c>
      <c r="F112" s="1">
        <v>112</v>
      </c>
      <c r="G112" s="1">
        <v>294</v>
      </c>
      <c r="H112" s="1" t="s">
        <v>37</v>
      </c>
      <c r="I112" s="1" t="s">
        <v>16</v>
      </c>
      <c r="J112" s="1" t="s">
        <v>24</v>
      </c>
      <c r="K112" s="1">
        <v>72.27</v>
      </c>
      <c r="L112" s="1">
        <v>68.39</v>
      </c>
    </row>
    <row r="113" spans="1:12" ht="15.6" x14ac:dyDescent="0.3">
      <c r="A113" s="1" t="s">
        <v>149</v>
      </c>
      <c r="B113" s="1">
        <v>41</v>
      </c>
      <c r="C113" s="1" t="s">
        <v>13</v>
      </c>
      <c r="D113" s="1" t="s">
        <v>50</v>
      </c>
      <c r="E113" s="1" t="s">
        <v>21</v>
      </c>
      <c r="F113" s="1">
        <v>112</v>
      </c>
      <c r="G113" s="1">
        <v>164</v>
      </c>
      <c r="H113" s="1" t="s">
        <v>48</v>
      </c>
      <c r="I113" s="1" t="s">
        <v>23</v>
      </c>
      <c r="J113" s="1" t="s">
        <v>17</v>
      </c>
      <c r="K113" s="1">
        <v>88.11</v>
      </c>
      <c r="L113" s="1">
        <v>60.61</v>
      </c>
    </row>
    <row r="114" spans="1:12" ht="15.6" x14ac:dyDescent="0.3">
      <c r="A114" s="1" t="s">
        <v>150</v>
      </c>
      <c r="B114" s="1">
        <v>53</v>
      </c>
      <c r="C114" s="1" t="s">
        <v>13</v>
      </c>
      <c r="D114" s="1" t="s">
        <v>20</v>
      </c>
      <c r="E114" s="1" t="s">
        <v>40</v>
      </c>
      <c r="F114" s="1">
        <v>465</v>
      </c>
      <c r="G114" s="1">
        <v>426</v>
      </c>
      <c r="H114" s="1" t="s">
        <v>32</v>
      </c>
      <c r="I114" s="1" t="s">
        <v>23</v>
      </c>
      <c r="J114" s="1" t="s">
        <v>24</v>
      </c>
      <c r="K114" s="1">
        <v>33.74</v>
      </c>
      <c r="L114" s="1">
        <v>10.19</v>
      </c>
    </row>
    <row r="115" spans="1:12" ht="15.6" x14ac:dyDescent="0.3">
      <c r="A115" s="1" t="s">
        <v>151</v>
      </c>
      <c r="B115" s="1">
        <v>20</v>
      </c>
      <c r="C115" s="1" t="s">
        <v>34</v>
      </c>
      <c r="D115" s="1" t="s">
        <v>30</v>
      </c>
      <c r="E115" s="1" t="s">
        <v>21</v>
      </c>
      <c r="F115" s="1">
        <v>467</v>
      </c>
      <c r="G115" s="1">
        <v>494</v>
      </c>
      <c r="H115" s="1" t="s">
        <v>32</v>
      </c>
      <c r="I115" s="1" t="s">
        <v>16</v>
      </c>
      <c r="J115" s="1" t="s">
        <v>17</v>
      </c>
      <c r="K115" s="1">
        <v>60.42</v>
      </c>
      <c r="L115" s="1">
        <v>15.37</v>
      </c>
    </row>
    <row r="116" spans="1:12" ht="15.6" x14ac:dyDescent="0.3">
      <c r="A116" s="1" t="s">
        <v>152</v>
      </c>
      <c r="B116" s="1">
        <v>18</v>
      </c>
      <c r="C116" s="1" t="s">
        <v>34</v>
      </c>
      <c r="D116" s="1" t="s">
        <v>30</v>
      </c>
      <c r="E116" s="1" t="s">
        <v>2</v>
      </c>
      <c r="F116" s="1">
        <v>398</v>
      </c>
      <c r="G116" s="1">
        <v>203</v>
      </c>
      <c r="H116" s="1" t="s">
        <v>32</v>
      </c>
      <c r="I116" s="1" t="s">
        <v>16</v>
      </c>
      <c r="J116" s="1" t="s">
        <v>38</v>
      </c>
      <c r="K116" s="1">
        <v>49.61</v>
      </c>
      <c r="L116" s="1">
        <v>26.04</v>
      </c>
    </row>
    <row r="117" spans="1:12" ht="15.6" x14ac:dyDescent="0.3">
      <c r="A117" s="1" t="s">
        <v>153</v>
      </c>
      <c r="B117" s="1">
        <v>21</v>
      </c>
      <c r="C117" s="1" t="s">
        <v>26</v>
      </c>
      <c r="D117" s="1" t="s">
        <v>35</v>
      </c>
      <c r="E117" s="1" t="s">
        <v>2</v>
      </c>
      <c r="F117" s="1">
        <v>294</v>
      </c>
      <c r="G117" s="1">
        <v>98</v>
      </c>
      <c r="H117" s="1" t="s">
        <v>22</v>
      </c>
      <c r="I117" s="1" t="s">
        <v>23</v>
      </c>
      <c r="J117" s="1" t="s">
        <v>17</v>
      </c>
      <c r="K117" s="1">
        <v>65.33</v>
      </c>
      <c r="L117" s="1">
        <v>49.29</v>
      </c>
    </row>
    <row r="118" spans="1:12" ht="15.6" x14ac:dyDescent="0.3">
      <c r="A118" s="1" t="s">
        <v>154</v>
      </c>
      <c r="B118" s="1">
        <v>48</v>
      </c>
      <c r="C118" s="1" t="s">
        <v>19</v>
      </c>
      <c r="D118" s="1" t="s">
        <v>30</v>
      </c>
      <c r="E118" s="1" t="s">
        <v>21</v>
      </c>
      <c r="F118" s="1">
        <v>385</v>
      </c>
      <c r="G118" s="1">
        <v>320</v>
      </c>
      <c r="H118" s="1" t="s">
        <v>32</v>
      </c>
      <c r="I118" s="1" t="s">
        <v>23</v>
      </c>
      <c r="J118" s="1" t="s">
        <v>38</v>
      </c>
      <c r="K118" s="1">
        <v>62.8</v>
      </c>
      <c r="L118" s="1">
        <v>72.31</v>
      </c>
    </row>
    <row r="119" spans="1:12" ht="15.6" x14ac:dyDescent="0.3">
      <c r="A119" s="1" t="s">
        <v>155</v>
      </c>
      <c r="B119" s="1">
        <v>29</v>
      </c>
      <c r="C119" s="1" t="s">
        <v>34</v>
      </c>
      <c r="D119" s="1" t="s">
        <v>20</v>
      </c>
      <c r="E119" s="1" t="s">
        <v>2</v>
      </c>
      <c r="F119" s="1">
        <v>18</v>
      </c>
      <c r="G119" s="1">
        <v>243</v>
      </c>
      <c r="H119" s="1" t="s">
        <v>48</v>
      </c>
      <c r="I119" s="1" t="s">
        <v>16</v>
      </c>
      <c r="J119" s="1" t="s">
        <v>17</v>
      </c>
      <c r="K119" s="1">
        <v>57.83</v>
      </c>
      <c r="L119" s="1">
        <v>24.37</v>
      </c>
    </row>
    <row r="120" spans="1:12" ht="15.6" x14ac:dyDescent="0.3">
      <c r="A120" s="1" t="s">
        <v>156</v>
      </c>
      <c r="B120" s="1">
        <v>29</v>
      </c>
      <c r="C120" s="1" t="s">
        <v>19</v>
      </c>
      <c r="D120" s="1" t="s">
        <v>20</v>
      </c>
      <c r="E120" s="1" t="s">
        <v>21</v>
      </c>
      <c r="F120" s="1">
        <v>372</v>
      </c>
      <c r="G120" s="1">
        <v>178</v>
      </c>
      <c r="H120" s="1" t="s">
        <v>32</v>
      </c>
      <c r="I120" s="1" t="s">
        <v>16</v>
      </c>
      <c r="J120" s="1" t="s">
        <v>17</v>
      </c>
      <c r="K120" s="1">
        <v>84.8</v>
      </c>
      <c r="L120" s="1">
        <v>7.21</v>
      </c>
    </row>
    <row r="121" spans="1:12" ht="15.6" x14ac:dyDescent="0.3">
      <c r="A121" s="1" t="s">
        <v>157</v>
      </c>
      <c r="B121" s="1">
        <v>40</v>
      </c>
      <c r="C121" s="1" t="s">
        <v>19</v>
      </c>
      <c r="D121" s="1" t="s">
        <v>35</v>
      </c>
      <c r="E121" s="1" t="s">
        <v>31</v>
      </c>
      <c r="F121" s="1">
        <v>400</v>
      </c>
      <c r="G121" s="1">
        <v>484</v>
      </c>
      <c r="H121" s="1" t="s">
        <v>15</v>
      </c>
      <c r="I121" s="1" t="s">
        <v>23</v>
      </c>
      <c r="J121" s="1" t="s">
        <v>17</v>
      </c>
      <c r="K121" s="1">
        <v>72.989999999999995</v>
      </c>
      <c r="L121" s="1">
        <v>24.56</v>
      </c>
    </row>
    <row r="122" spans="1:12" ht="15.6" x14ac:dyDescent="0.3">
      <c r="A122" s="1" t="s">
        <v>158</v>
      </c>
      <c r="B122" s="1">
        <v>42</v>
      </c>
      <c r="C122" s="1" t="s">
        <v>13</v>
      </c>
      <c r="D122" s="1" t="s">
        <v>14</v>
      </c>
      <c r="E122" s="1" t="s">
        <v>45</v>
      </c>
      <c r="F122" s="1">
        <v>473</v>
      </c>
      <c r="G122" s="1">
        <v>348</v>
      </c>
      <c r="H122" s="1" t="s">
        <v>48</v>
      </c>
      <c r="I122" s="1" t="s">
        <v>16</v>
      </c>
      <c r="J122" s="1" t="s">
        <v>24</v>
      </c>
      <c r="K122" s="1">
        <v>11.26</v>
      </c>
      <c r="L122" s="1">
        <v>40.18</v>
      </c>
    </row>
    <row r="123" spans="1:12" ht="15.6" x14ac:dyDescent="0.3">
      <c r="A123" s="1" t="s">
        <v>159</v>
      </c>
      <c r="B123" s="1">
        <v>34</v>
      </c>
      <c r="C123" s="1" t="s">
        <v>13</v>
      </c>
      <c r="D123" s="1" t="s">
        <v>14</v>
      </c>
      <c r="E123" s="1" t="s">
        <v>31</v>
      </c>
      <c r="F123" s="1">
        <v>396</v>
      </c>
      <c r="G123" s="1">
        <v>78</v>
      </c>
      <c r="H123" s="1" t="s">
        <v>15</v>
      </c>
      <c r="I123" s="1" t="s">
        <v>23</v>
      </c>
      <c r="J123" s="1" t="s">
        <v>38</v>
      </c>
      <c r="K123" s="1">
        <v>16.11</v>
      </c>
      <c r="L123" s="1">
        <v>50.67</v>
      </c>
    </row>
    <row r="124" spans="1:12" ht="15.6" x14ac:dyDescent="0.3">
      <c r="A124" s="1" t="s">
        <v>160</v>
      </c>
      <c r="B124" s="1">
        <v>20</v>
      </c>
      <c r="C124" s="1" t="s">
        <v>26</v>
      </c>
      <c r="D124" s="1" t="s">
        <v>35</v>
      </c>
      <c r="E124" s="1" t="s">
        <v>40</v>
      </c>
      <c r="F124" s="1">
        <v>200</v>
      </c>
      <c r="G124" s="1">
        <v>314</v>
      </c>
      <c r="H124" s="1" t="s">
        <v>22</v>
      </c>
      <c r="I124" s="1" t="s">
        <v>23</v>
      </c>
      <c r="J124" s="1" t="s">
        <v>17</v>
      </c>
      <c r="K124" s="1">
        <v>80.44</v>
      </c>
      <c r="L124" s="1">
        <v>9.14</v>
      </c>
    </row>
    <row r="125" spans="1:12" ht="15.6" x14ac:dyDescent="0.3">
      <c r="A125" s="1" t="s">
        <v>161</v>
      </c>
      <c r="B125" s="1">
        <v>34</v>
      </c>
      <c r="C125" s="1" t="s">
        <v>19</v>
      </c>
      <c r="D125" s="1" t="s">
        <v>30</v>
      </c>
      <c r="E125" s="1" t="s">
        <v>21</v>
      </c>
      <c r="F125" s="1">
        <v>479</v>
      </c>
      <c r="G125" s="1">
        <v>479</v>
      </c>
      <c r="H125" s="1" t="s">
        <v>37</v>
      </c>
      <c r="I125" s="1" t="s">
        <v>23</v>
      </c>
      <c r="J125" s="1" t="s">
        <v>17</v>
      </c>
      <c r="K125" s="1">
        <v>39.880000000000003</v>
      </c>
      <c r="L125" s="1">
        <v>30.56</v>
      </c>
    </row>
    <row r="126" spans="1:12" ht="15.6" x14ac:dyDescent="0.3">
      <c r="A126" s="1" t="s">
        <v>162</v>
      </c>
      <c r="B126" s="1">
        <v>35</v>
      </c>
      <c r="C126" s="1" t="s">
        <v>34</v>
      </c>
      <c r="D126" s="1" t="s">
        <v>20</v>
      </c>
      <c r="E126" s="1" t="s">
        <v>36</v>
      </c>
      <c r="F126" s="1">
        <v>594</v>
      </c>
      <c r="G126" s="1">
        <v>13</v>
      </c>
      <c r="H126" s="1" t="s">
        <v>37</v>
      </c>
      <c r="I126" s="1" t="s">
        <v>23</v>
      </c>
      <c r="J126" s="1" t="s">
        <v>38</v>
      </c>
      <c r="K126" s="1">
        <v>27.72</v>
      </c>
      <c r="L126" s="1">
        <v>64.63</v>
      </c>
    </row>
    <row r="127" spans="1:12" ht="15.6" x14ac:dyDescent="0.3">
      <c r="A127" s="1" t="s">
        <v>163</v>
      </c>
      <c r="B127" s="1">
        <v>17</v>
      </c>
      <c r="C127" s="1" t="s">
        <v>19</v>
      </c>
      <c r="D127" s="1" t="s">
        <v>27</v>
      </c>
      <c r="E127" s="1" t="s">
        <v>45</v>
      </c>
      <c r="F127" s="1">
        <v>590</v>
      </c>
      <c r="G127" s="1">
        <v>171</v>
      </c>
      <c r="H127" s="1" t="s">
        <v>48</v>
      </c>
      <c r="I127" s="1" t="s">
        <v>23</v>
      </c>
      <c r="J127" s="1" t="s">
        <v>38</v>
      </c>
      <c r="K127" s="1">
        <v>27.74</v>
      </c>
      <c r="L127" s="1">
        <v>32.03</v>
      </c>
    </row>
    <row r="128" spans="1:12" ht="15.6" x14ac:dyDescent="0.3">
      <c r="A128" s="1" t="s">
        <v>164</v>
      </c>
      <c r="B128" s="1">
        <v>42</v>
      </c>
      <c r="C128" s="1" t="s">
        <v>34</v>
      </c>
      <c r="D128" s="1" t="s">
        <v>20</v>
      </c>
      <c r="E128" s="1" t="s">
        <v>40</v>
      </c>
      <c r="F128" s="1">
        <v>382</v>
      </c>
      <c r="G128" s="1">
        <v>369</v>
      </c>
      <c r="H128" s="1" t="s">
        <v>37</v>
      </c>
      <c r="I128" s="1" t="s">
        <v>16</v>
      </c>
      <c r="J128" s="1" t="s">
        <v>17</v>
      </c>
      <c r="K128" s="1">
        <v>48.03</v>
      </c>
      <c r="L128" s="1">
        <v>29.7</v>
      </c>
    </row>
    <row r="129" spans="1:12" ht="15.6" x14ac:dyDescent="0.3">
      <c r="A129" s="1" t="s">
        <v>165</v>
      </c>
      <c r="B129" s="1">
        <v>49</v>
      </c>
      <c r="C129" s="1" t="s">
        <v>13</v>
      </c>
      <c r="D129" s="1" t="s">
        <v>50</v>
      </c>
      <c r="E129" s="1" t="s">
        <v>40</v>
      </c>
      <c r="F129" s="1">
        <v>409</v>
      </c>
      <c r="G129" s="1">
        <v>369</v>
      </c>
      <c r="H129" s="1" t="s">
        <v>15</v>
      </c>
      <c r="I129" s="1" t="s">
        <v>23</v>
      </c>
      <c r="J129" s="1" t="s">
        <v>38</v>
      </c>
      <c r="K129" s="1">
        <v>72.8</v>
      </c>
      <c r="L129" s="1">
        <v>64.89</v>
      </c>
    </row>
    <row r="130" spans="1:12" ht="15.6" x14ac:dyDescent="0.3">
      <c r="A130" s="1" t="s">
        <v>166</v>
      </c>
      <c r="B130" s="1">
        <v>50</v>
      </c>
      <c r="C130" s="1" t="s">
        <v>29</v>
      </c>
      <c r="D130" s="1" t="s">
        <v>27</v>
      </c>
      <c r="E130" s="1" t="s">
        <v>36</v>
      </c>
      <c r="F130" s="1">
        <v>227</v>
      </c>
      <c r="G130" s="1">
        <v>88</v>
      </c>
      <c r="H130" s="1" t="s">
        <v>32</v>
      </c>
      <c r="I130" s="1" t="s">
        <v>23</v>
      </c>
      <c r="J130" s="1" t="s">
        <v>38</v>
      </c>
      <c r="K130" s="1">
        <v>30.05</v>
      </c>
      <c r="L130" s="1">
        <v>9.94</v>
      </c>
    </row>
    <row r="131" spans="1:12" ht="15.6" x14ac:dyDescent="0.3">
      <c r="A131" s="1" t="s">
        <v>167</v>
      </c>
      <c r="B131" s="1">
        <v>37</v>
      </c>
      <c r="C131" s="1" t="s">
        <v>13</v>
      </c>
      <c r="D131" s="1" t="s">
        <v>14</v>
      </c>
      <c r="E131" s="1" t="s">
        <v>45</v>
      </c>
      <c r="F131" s="1">
        <v>210</v>
      </c>
      <c r="G131" s="1">
        <v>306</v>
      </c>
      <c r="H131" s="1" t="s">
        <v>48</v>
      </c>
      <c r="I131" s="1" t="s">
        <v>23</v>
      </c>
      <c r="J131" s="1" t="s">
        <v>17</v>
      </c>
      <c r="K131" s="1">
        <v>56.66</v>
      </c>
      <c r="L131" s="1">
        <v>28.55</v>
      </c>
    </row>
    <row r="132" spans="1:12" ht="15.6" x14ac:dyDescent="0.3">
      <c r="A132" s="1" t="s">
        <v>168</v>
      </c>
      <c r="B132" s="1">
        <v>59</v>
      </c>
      <c r="C132" s="1" t="s">
        <v>19</v>
      </c>
      <c r="D132" s="1" t="s">
        <v>50</v>
      </c>
      <c r="E132" s="1" t="s">
        <v>31</v>
      </c>
      <c r="F132" s="1">
        <v>27</v>
      </c>
      <c r="G132" s="1">
        <v>15</v>
      </c>
      <c r="H132" s="1" t="s">
        <v>15</v>
      </c>
      <c r="I132" s="1" t="s">
        <v>16</v>
      </c>
      <c r="J132" s="1" t="s">
        <v>38</v>
      </c>
      <c r="K132" s="1">
        <v>69.34</v>
      </c>
      <c r="L132" s="1">
        <v>36.17</v>
      </c>
    </row>
    <row r="133" spans="1:12" ht="15.6" x14ac:dyDescent="0.3">
      <c r="A133" s="1" t="s">
        <v>169</v>
      </c>
      <c r="B133" s="1">
        <v>27</v>
      </c>
      <c r="C133" s="1" t="s">
        <v>29</v>
      </c>
      <c r="D133" s="1" t="s">
        <v>20</v>
      </c>
      <c r="E133" s="1" t="s">
        <v>40</v>
      </c>
      <c r="F133" s="1">
        <v>25</v>
      </c>
      <c r="G133" s="1">
        <v>162</v>
      </c>
      <c r="H133" s="1" t="s">
        <v>37</v>
      </c>
      <c r="I133" s="1" t="s">
        <v>16</v>
      </c>
      <c r="J133" s="1" t="s">
        <v>17</v>
      </c>
      <c r="K133" s="1">
        <v>68.459999999999994</v>
      </c>
      <c r="L133" s="1">
        <v>35.119999999999997</v>
      </c>
    </row>
    <row r="134" spans="1:12" ht="15.6" x14ac:dyDescent="0.3">
      <c r="A134" s="1" t="s">
        <v>170</v>
      </c>
      <c r="B134" s="1">
        <v>47</v>
      </c>
      <c r="C134" s="1" t="s">
        <v>19</v>
      </c>
      <c r="D134" s="1" t="s">
        <v>50</v>
      </c>
      <c r="E134" s="1" t="s">
        <v>40</v>
      </c>
      <c r="F134" s="1">
        <v>522</v>
      </c>
      <c r="G134" s="1">
        <v>162</v>
      </c>
      <c r="H134" s="1" t="s">
        <v>15</v>
      </c>
      <c r="I134" s="1" t="s">
        <v>16</v>
      </c>
      <c r="J134" s="1" t="s">
        <v>38</v>
      </c>
      <c r="K134" s="1">
        <v>62.49</v>
      </c>
      <c r="L134" s="1">
        <v>36.53</v>
      </c>
    </row>
    <row r="135" spans="1:12" ht="15.6" x14ac:dyDescent="0.3">
      <c r="A135" s="1" t="s">
        <v>171</v>
      </c>
      <c r="B135" s="1">
        <v>23</v>
      </c>
      <c r="C135" s="1" t="s">
        <v>34</v>
      </c>
      <c r="D135" s="1" t="s">
        <v>20</v>
      </c>
      <c r="E135" s="1" t="s">
        <v>40</v>
      </c>
      <c r="F135" s="1">
        <v>437</v>
      </c>
      <c r="G135" s="1">
        <v>388</v>
      </c>
      <c r="H135" s="1" t="s">
        <v>32</v>
      </c>
      <c r="I135" s="1" t="s">
        <v>23</v>
      </c>
      <c r="J135" s="1" t="s">
        <v>17</v>
      </c>
      <c r="K135" s="1">
        <v>12.11</v>
      </c>
      <c r="L135" s="1">
        <v>47.22</v>
      </c>
    </row>
    <row r="136" spans="1:12" ht="15.6" x14ac:dyDescent="0.3">
      <c r="A136" s="1" t="s">
        <v>172</v>
      </c>
      <c r="B136" s="1">
        <v>42</v>
      </c>
      <c r="C136" s="1" t="s">
        <v>26</v>
      </c>
      <c r="D136" s="1" t="s">
        <v>50</v>
      </c>
      <c r="E136" s="1" t="s">
        <v>40</v>
      </c>
      <c r="F136" s="1">
        <v>82</v>
      </c>
      <c r="G136" s="1">
        <v>289</v>
      </c>
      <c r="H136" s="1" t="s">
        <v>22</v>
      </c>
      <c r="I136" s="1" t="s">
        <v>23</v>
      </c>
      <c r="J136" s="1" t="s">
        <v>24</v>
      </c>
      <c r="K136" s="1">
        <v>24.29</v>
      </c>
      <c r="L136" s="1">
        <v>18.98</v>
      </c>
    </row>
    <row r="137" spans="1:12" ht="15.6" x14ac:dyDescent="0.3">
      <c r="A137" s="1" t="s">
        <v>173</v>
      </c>
      <c r="B137" s="1">
        <v>18</v>
      </c>
      <c r="C137" s="1" t="s">
        <v>29</v>
      </c>
      <c r="D137" s="1" t="s">
        <v>30</v>
      </c>
      <c r="E137" s="1" t="s">
        <v>36</v>
      </c>
      <c r="F137" s="1">
        <v>147</v>
      </c>
      <c r="G137" s="1">
        <v>264</v>
      </c>
      <c r="H137" s="1" t="s">
        <v>32</v>
      </c>
      <c r="I137" s="1" t="s">
        <v>23</v>
      </c>
      <c r="J137" s="1" t="s">
        <v>17</v>
      </c>
      <c r="K137" s="1">
        <v>33.83</v>
      </c>
      <c r="L137" s="1">
        <v>18.72</v>
      </c>
    </row>
    <row r="138" spans="1:12" ht="15.6" x14ac:dyDescent="0.3">
      <c r="A138" s="1" t="s">
        <v>174</v>
      </c>
      <c r="B138" s="1">
        <v>43</v>
      </c>
      <c r="C138" s="1" t="s">
        <v>29</v>
      </c>
      <c r="D138" s="1" t="s">
        <v>50</v>
      </c>
      <c r="E138" s="1" t="s">
        <v>2</v>
      </c>
      <c r="F138" s="1">
        <v>232</v>
      </c>
      <c r="G138" s="1">
        <v>164</v>
      </c>
      <c r="H138" s="1" t="s">
        <v>15</v>
      </c>
      <c r="I138" s="1" t="s">
        <v>23</v>
      </c>
      <c r="J138" s="1" t="s">
        <v>24</v>
      </c>
      <c r="K138" s="1">
        <v>49.76</v>
      </c>
      <c r="L138" s="1">
        <v>41.61</v>
      </c>
    </row>
    <row r="139" spans="1:12" ht="15.6" x14ac:dyDescent="0.3">
      <c r="A139" s="1" t="s">
        <v>175</v>
      </c>
      <c r="B139" s="1">
        <v>25</v>
      </c>
      <c r="C139" s="1" t="s">
        <v>34</v>
      </c>
      <c r="D139" s="1" t="s">
        <v>35</v>
      </c>
      <c r="E139" s="1" t="s">
        <v>36</v>
      </c>
      <c r="F139" s="1">
        <v>110</v>
      </c>
      <c r="G139" s="1">
        <v>431</v>
      </c>
      <c r="H139" s="1" t="s">
        <v>32</v>
      </c>
      <c r="I139" s="1" t="s">
        <v>23</v>
      </c>
      <c r="J139" s="1" t="s">
        <v>17</v>
      </c>
      <c r="K139" s="1">
        <v>24.47</v>
      </c>
      <c r="L139" s="1">
        <v>61.38</v>
      </c>
    </row>
    <row r="140" spans="1:12" ht="15.6" x14ac:dyDescent="0.3">
      <c r="A140" s="1" t="s">
        <v>176</v>
      </c>
      <c r="B140" s="1">
        <v>46</v>
      </c>
      <c r="C140" s="1" t="s">
        <v>34</v>
      </c>
      <c r="D140" s="1" t="s">
        <v>30</v>
      </c>
      <c r="E140" s="1" t="s">
        <v>40</v>
      </c>
      <c r="F140" s="1">
        <v>277</v>
      </c>
      <c r="G140" s="1">
        <v>321</v>
      </c>
      <c r="H140" s="1" t="s">
        <v>48</v>
      </c>
      <c r="I140" s="1" t="s">
        <v>23</v>
      </c>
      <c r="J140" s="1" t="s">
        <v>17</v>
      </c>
      <c r="K140" s="1">
        <v>80.040000000000006</v>
      </c>
      <c r="L140" s="1">
        <v>41.47</v>
      </c>
    </row>
    <row r="141" spans="1:12" ht="15.6" x14ac:dyDescent="0.3">
      <c r="A141" s="1" t="s">
        <v>177</v>
      </c>
      <c r="B141" s="1">
        <v>27</v>
      </c>
      <c r="C141" s="1" t="s">
        <v>29</v>
      </c>
      <c r="D141" s="1" t="s">
        <v>35</v>
      </c>
      <c r="E141" s="1" t="s">
        <v>45</v>
      </c>
      <c r="F141" s="1">
        <v>122</v>
      </c>
      <c r="G141" s="1">
        <v>214</v>
      </c>
      <c r="H141" s="1" t="s">
        <v>15</v>
      </c>
      <c r="I141" s="1" t="s">
        <v>16</v>
      </c>
      <c r="J141" s="1" t="s">
        <v>24</v>
      </c>
      <c r="K141" s="1">
        <v>55.82</v>
      </c>
      <c r="L141" s="1">
        <v>65.930000000000007</v>
      </c>
    </row>
    <row r="142" spans="1:12" ht="15.6" x14ac:dyDescent="0.3">
      <c r="A142" s="1" t="s">
        <v>178</v>
      </c>
      <c r="B142" s="1">
        <v>32</v>
      </c>
      <c r="C142" s="1" t="s">
        <v>19</v>
      </c>
      <c r="D142" s="1" t="s">
        <v>20</v>
      </c>
      <c r="E142" s="1" t="s">
        <v>2</v>
      </c>
      <c r="F142" s="1">
        <v>210</v>
      </c>
      <c r="G142" s="1">
        <v>292</v>
      </c>
      <c r="H142" s="1" t="s">
        <v>32</v>
      </c>
      <c r="I142" s="1" t="s">
        <v>16</v>
      </c>
      <c r="J142" s="1" t="s">
        <v>17</v>
      </c>
      <c r="K142" s="1">
        <v>45.57</v>
      </c>
      <c r="L142" s="1">
        <v>31.35</v>
      </c>
    </row>
    <row r="143" spans="1:12" ht="15.6" x14ac:dyDescent="0.3">
      <c r="A143" s="1" t="s">
        <v>179</v>
      </c>
      <c r="B143" s="1">
        <v>54</v>
      </c>
      <c r="C143" s="1" t="s">
        <v>29</v>
      </c>
      <c r="D143" s="1" t="s">
        <v>30</v>
      </c>
      <c r="E143" s="1" t="s">
        <v>40</v>
      </c>
      <c r="F143" s="1">
        <v>294</v>
      </c>
      <c r="G143" s="1">
        <v>296</v>
      </c>
      <c r="H143" s="1" t="s">
        <v>22</v>
      </c>
      <c r="I143" s="1" t="s">
        <v>16</v>
      </c>
      <c r="J143" s="1" t="s">
        <v>38</v>
      </c>
      <c r="K143" s="1">
        <v>78.2</v>
      </c>
      <c r="L143" s="1">
        <v>36.68</v>
      </c>
    </row>
    <row r="144" spans="1:12" ht="15.6" x14ac:dyDescent="0.3">
      <c r="A144" s="1" t="s">
        <v>180</v>
      </c>
      <c r="B144" s="1">
        <v>50</v>
      </c>
      <c r="C144" s="1" t="s">
        <v>34</v>
      </c>
      <c r="D144" s="1" t="s">
        <v>27</v>
      </c>
      <c r="E144" s="1" t="s">
        <v>40</v>
      </c>
      <c r="F144" s="1">
        <v>408</v>
      </c>
      <c r="G144" s="1">
        <v>900</v>
      </c>
      <c r="H144" s="1" t="s">
        <v>22</v>
      </c>
      <c r="I144" s="1" t="s">
        <v>23</v>
      </c>
      <c r="J144" s="1" t="s">
        <v>24</v>
      </c>
      <c r="K144" s="1">
        <v>11.3</v>
      </c>
      <c r="L144" s="1">
        <v>26.81</v>
      </c>
    </row>
    <row r="145" spans="1:12" ht="15.6" x14ac:dyDescent="0.3">
      <c r="A145" s="1" t="s">
        <v>181</v>
      </c>
      <c r="B145" s="1">
        <v>59</v>
      </c>
      <c r="C145" s="1" t="s">
        <v>34</v>
      </c>
      <c r="D145" s="1" t="s">
        <v>30</v>
      </c>
      <c r="E145" s="1" t="s">
        <v>2</v>
      </c>
      <c r="F145" s="1">
        <v>153</v>
      </c>
      <c r="G145" s="1">
        <v>361</v>
      </c>
      <c r="H145" s="1" t="s">
        <v>48</v>
      </c>
      <c r="I145" s="1" t="s">
        <v>23</v>
      </c>
      <c r="J145" s="1" t="s">
        <v>24</v>
      </c>
      <c r="K145" s="1">
        <v>57.5</v>
      </c>
      <c r="L145" s="1">
        <v>58.75</v>
      </c>
    </row>
    <row r="146" spans="1:12" ht="15.6" x14ac:dyDescent="0.3">
      <c r="A146" s="1" t="s">
        <v>182</v>
      </c>
      <c r="B146" s="1">
        <v>54</v>
      </c>
      <c r="C146" s="1" t="s">
        <v>19</v>
      </c>
      <c r="D146" s="1" t="s">
        <v>14</v>
      </c>
      <c r="E146" s="1" t="s">
        <v>45</v>
      </c>
      <c r="F146" s="1">
        <v>484</v>
      </c>
      <c r="G146" s="1">
        <v>192</v>
      </c>
      <c r="H146" s="1" t="s">
        <v>22</v>
      </c>
      <c r="I146" s="1" t="s">
        <v>16</v>
      </c>
      <c r="J146" s="1" t="s">
        <v>24</v>
      </c>
      <c r="K146" s="1">
        <v>87.65</v>
      </c>
      <c r="L146" s="1">
        <v>51.8</v>
      </c>
    </row>
    <row r="147" spans="1:12" ht="15.6" x14ac:dyDescent="0.3">
      <c r="A147" s="1" t="s">
        <v>183</v>
      </c>
      <c r="B147" s="1">
        <v>37</v>
      </c>
      <c r="C147" s="1" t="s">
        <v>13</v>
      </c>
      <c r="D147" s="1" t="s">
        <v>35</v>
      </c>
      <c r="E147" s="1" t="s">
        <v>40</v>
      </c>
      <c r="F147" s="1">
        <v>574</v>
      </c>
      <c r="G147" s="1">
        <v>96</v>
      </c>
      <c r="H147" s="1" t="s">
        <v>22</v>
      </c>
      <c r="I147" s="1" t="s">
        <v>23</v>
      </c>
      <c r="J147" s="1" t="s">
        <v>24</v>
      </c>
      <c r="K147" s="1">
        <v>20.059999999999999</v>
      </c>
      <c r="L147" s="1">
        <v>68.86</v>
      </c>
    </row>
    <row r="148" spans="1:12" ht="15.6" x14ac:dyDescent="0.3">
      <c r="A148" s="1" t="s">
        <v>184</v>
      </c>
      <c r="B148" s="1">
        <v>13</v>
      </c>
      <c r="C148" s="1" t="s">
        <v>26</v>
      </c>
      <c r="D148" s="1" t="s">
        <v>30</v>
      </c>
      <c r="E148" s="1" t="s">
        <v>21</v>
      </c>
      <c r="F148" s="1">
        <v>454</v>
      </c>
      <c r="G148" s="1">
        <v>239</v>
      </c>
      <c r="H148" s="1" t="s">
        <v>15</v>
      </c>
      <c r="I148" s="1" t="s">
        <v>23</v>
      </c>
      <c r="J148" s="1" t="s">
        <v>17</v>
      </c>
      <c r="K148" s="1">
        <v>84.48</v>
      </c>
      <c r="L148" s="1">
        <v>34.08</v>
      </c>
    </row>
    <row r="149" spans="1:12" ht="15.6" x14ac:dyDescent="0.3">
      <c r="A149" s="1" t="s">
        <v>185</v>
      </c>
      <c r="B149" s="1">
        <v>25</v>
      </c>
      <c r="C149" s="1" t="s">
        <v>26</v>
      </c>
      <c r="D149" s="1" t="s">
        <v>50</v>
      </c>
      <c r="E149" s="1" t="s">
        <v>45</v>
      </c>
      <c r="F149" s="1">
        <v>130</v>
      </c>
      <c r="G149" s="1">
        <v>74</v>
      </c>
      <c r="H149" s="1" t="s">
        <v>15</v>
      </c>
      <c r="I149" s="1" t="s">
        <v>16</v>
      </c>
      <c r="J149" s="1" t="s">
        <v>24</v>
      </c>
      <c r="K149" s="1">
        <v>54.79</v>
      </c>
      <c r="L149" s="1">
        <v>8.65</v>
      </c>
    </row>
    <row r="150" spans="1:12" ht="15.6" x14ac:dyDescent="0.3">
      <c r="A150" s="1" t="s">
        <v>186</v>
      </c>
      <c r="B150" s="1">
        <v>24</v>
      </c>
      <c r="C150" s="1" t="s">
        <v>29</v>
      </c>
      <c r="D150" s="1" t="s">
        <v>35</v>
      </c>
      <c r="E150" s="1" t="s">
        <v>36</v>
      </c>
      <c r="F150" s="1">
        <v>183</v>
      </c>
      <c r="G150" s="1">
        <v>333</v>
      </c>
      <c r="H150" s="1" t="s">
        <v>48</v>
      </c>
      <c r="I150" s="1" t="s">
        <v>16</v>
      </c>
      <c r="J150" s="1" t="s">
        <v>17</v>
      </c>
      <c r="K150" s="1">
        <v>35.340000000000003</v>
      </c>
      <c r="L150" s="1">
        <v>68.08</v>
      </c>
    </row>
    <row r="151" spans="1:12" ht="15.6" x14ac:dyDescent="0.3">
      <c r="A151" s="1" t="s">
        <v>187</v>
      </c>
      <c r="B151" s="1">
        <v>22</v>
      </c>
      <c r="C151" s="1" t="s">
        <v>29</v>
      </c>
      <c r="D151" s="1" t="s">
        <v>27</v>
      </c>
      <c r="E151" s="1" t="s">
        <v>2</v>
      </c>
      <c r="F151" s="1">
        <v>198</v>
      </c>
      <c r="G151" s="1">
        <v>115</v>
      </c>
      <c r="H151" s="1" t="s">
        <v>15</v>
      </c>
      <c r="I151" s="1" t="s">
        <v>23</v>
      </c>
      <c r="J151" s="1" t="s">
        <v>24</v>
      </c>
      <c r="K151" s="1">
        <v>34.659999999999997</v>
      </c>
      <c r="L151" s="1">
        <v>41.7</v>
      </c>
    </row>
    <row r="152" spans="1:12" ht="15.6" x14ac:dyDescent="0.3">
      <c r="A152" s="1" t="s">
        <v>188</v>
      </c>
      <c r="B152" s="1">
        <v>60</v>
      </c>
      <c r="C152" s="1" t="s">
        <v>19</v>
      </c>
      <c r="D152" s="1" t="s">
        <v>20</v>
      </c>
      <c r="E152" s="1" t="s">
        <v>21</v>
      </c>
      <c r="F152" s="1">
        <v>464</v>
      </c>
      <c r="G152" s="1">
        <v>268</v>
      </c>
      <c r="H152" s="1" t="s">
        <v>48</v>
      </c>
      <c r="I152" s="1" t="s">
        <v>23</v>
      </c>
      <c r="J152" s="1" t="s">
        <v>17</v>
      </c>
      <c r="K152" s="1">
        <v>85.99</v>
      </c>
      <c r="L152" s="1">
        <v>68.739999999999995</v>
      </c>
    </row>
    <row r="153" spans="1:12" ht="15.6" x14ac:dyDescent="0.3">
      <c r="A153" s="1" t="s">
        <v>189</v>
      </c>
      <c r="B153" s="1">
        <v>29</v>
      </c>
      <c r="C153" s="1" t="s">
        <v>26</v>
      </c>
      <c r="D153" s="1" t="s">
        <v>20</v>
      </c>
      <c r="E153" s="1" t="s">
        <v>21</v>
      </c>
      <c r="F153" s="1">
        <v>75</v>
      </c>
      <c r="G153" s="1">
        <v>310</v>
      </c>
      <c r="H153" s="1" t="s">
        <v>22</v>
      </c>
      <c r="I153" s="1" t="s">
        <v>23</v>
      </c>
      <c r="J153" s="1" t="s">
        <v>17</v>
      </c>
      <c r="K153" s="1">
        <v>81.77</v>
      </c>
      <c r="L153" s="1">
        <v>77.430000000000007</v>
      </c>
    </row>
    <row r="154" spans="1:12" ht="15.6" x14ac:dyDescent="0.3">
      <c r="A154" s="1" t="s">
        <v>190</v>
      </c>
      <c r="B154" s="1">
        <v>17</v>
      </c>
      <c r="C154" s="1" t="s">
        <v>26</v>
      </c>
      <c r="D154" s="1" t="s">
        <v>27</v>
      </c>
      <c r="E154" s="1" t="s">
        <v>21</v>
      </c>
      <c r="F154" s="1">
        <v>80</v>
      </c>
      <c r="G154" s="1">
        <v>403</v>
      </c>
      <c r="H154" s="1" t="s">
        <v>22</v>
      </c>
      <c r="I154" s="1" t="s">
        <v>23</v>
      </c>
      <c r="J154" s="1" t="s">
        <v>24</v>
      </c>
      <c r="K154" s="1">
        <v>60.83</v>
      </c>
      <c r="L154" s="1">
        <v>36.36</v>
      </c>
    </row>
    <row r="155" spans="1:12" ht="15.6" x14ac:dyDescent="0.3">
      <c r="A155" s="1" t="s">
        <v>191</v>
      </c>
      <c r="B155" s="1">
        <v>44</v>
      </c>
      <c r="C155" s="1" t="s">
        <v>34</v>
      </c>
      <c r="D155" s="1" t="s">
        <v>50</v>
      </c>
      <c r="E155" s="1" t="s">
        <v>21</v>
      </c>
      <c r="F155" s="1">
        <v>39</v>
      </c>
      <c r="G155" s="1">
        <v>44</v>
      </c>
      <c r="H155" s="1" t="s">
        <v>15</v>
      </c>
      <c r="I155" s="1" t="s">
        <v>23</v>
      </c>
      <c r="J155" s="1" t="s">
        <v>17</v>
      </c>
      <c r="K155" s="1">
        <v>68.11</v>
      </c>
      <c r="L155" s="1">
        <v>37.96</v>
      </c>
    </row>
    <row r="156" spans="1:12" ht="15.6" x14ac:dyDescent="0.3">
      <c r="A156" s="1" t="s">
        <v>192</v>
      </c>
      <c r="B156" s="1">
        <v>17</v>
      </c>
      <c r="C156" s="1" t="s">
        <v>29</v>
      </c>
      <c r="D156" s="1" t="s">
        <v>14</v>
      </c>
      <c r="E156" s="1" t="s">
        <v>40</v>
      </c>
      <c r="F156" s="1">
        <v>445</v>
      </c>
      <c r="G156" s="1">
        <v>97</v>
      </c>
      <c r="H156" s="1" t="s">
        <v>32</v>
      </c>
      <c r="I156" s="1" t="s">
        <v>16</v>
      </c>
      <c r="J156" s="1" t="s">
        <v>24</v>
      </c>
      <c r="K156" s="1">
        <v>17.87</v>
      </c>
      <c r="L156" s="1">
        <v>79.349999999999994</v>
      </c>
    </row>
    <row r="157" spans="1:12" ht="15.6" x14ac:dyDescent="0.3">
      <c r="A157" s="1" t="s">
        <v>193</v>
      </c>
      <c r="B157" s="1">
        <v>25</v>
      </c>
      <c r="C157" s="1" t="s">
        <v>19</v>
      </c>
      <c r="D157" s="1" t="s">
        <v>14</v>
      </c>
      <c r="E157" s="1" t="s">
        <v>45</v>
      </c>
      <c r="F157" s="1">
        <v>232</v>
      </c>
      <c r="G157" s="1">
        <v>97</v>
      </c>
      <c r="H157" s="1" t="s">
        <v>22</v>
      </c>
      <c r="I157" s="1" t="s">
        <v>16</v>
      </c>
      <c r="J157" s="1" t="s">
        <v>38</v>
      </c>
      <c r="K157" s="1">
        <v>35.31</v>
      </c>
      <c r="L157" s="1">
        <v>58.3</v>
      </c>
    </row>
    <row r="158" spans="1:12" ht="15.6" x14ac:dyDescent="0.3">
      <c r="A158" s="1" t="s">
        <v>194</v>
      </c>
      <c r="B158" s="1">
        <v>30</v>
      </c>
      <c r="C158" s="1" t="s">
        <v>29</v>
      </c>
      <c r="D158" s="1" t="s">
        <v>50</v>
      </c>
      <c r="E158" s="1" t="s">
        <v>31</v>
      </c>
      <c r="F158" s="1">
        <v>387</v>
      </c>
      <c r="G158" s="1">
        <v>245</v>
      </c>
      <c r="H158" s="1" t="s">
        <v>22</v>
      </c>
      <c r="I158" s="1" t="s">
        <v>16</v>
      </c>
      <c r="J158" s="1" t="s">
        <v>17</v>
      </c>
      <c r="K158" s="1">
        <v>69.010000000000005</v>
      </c>
      <c r="L158" s="1">
        <v>6.73</v>
      </c>
    </row>
    <row r="159" spans="1:12" ht="15.6" x14ac:dyDescent="0.3">
      <c r="A159" s="1" t="s">
        <v>195</v>
      </c>
      <c r="B159" s="1">
        <v>49</v>
      </c>
      <c r="C159" s="1" t="s">
        <v>19</v>
      </c>
      <c r="D159" s="1" t="s">
        <v>50</v>
      </c>
      <c r="E159" s="1" t="s">
        <v>36</v>
      </c>
      <c r="F159" s="1">
        <v>296</v>
      </c>
      <c r="G159" s="1">
        <v>260</v>
      </c>
      <c r="H159" s="1" t="s">
        <v>15</v>
      </c>
      <c r="I159" s="1" t="s">
        <v>23</v>
      </c>
      <c r="J159" s="1" t="s">
        <v>24</v>
      </c>
      <c r="K159" s="1">
        <v>31.46</v>
      </c>
      <c r="L159" s="1">
        <v>62.67</v>
      </c>
    </row>
    <row r="160" spans="1:12" ht="15.6" x14ac:dyDescent="0.3">
      <c r="A160" s="1" t="s">
        <v>196</v>
      </c>
      <c r="B160" s="1">
        <v>41</v>
      </c>
      <c r="C160" s="1" t="s">
        <v>19</v>
      </c>
      <c r="D160" s="1" t="s">
        <v>50</v>
      </c>
      <c r="E160" s="1" t="s">
        <v>40</v>
      </c>
      <c r="F160" s="1">
        <v>354</v>
      </c>
      <c r="G160" s="1">
        <v>466</v>
      </c>
      <c r="H160" s="1" t="s">
        <v>15</v>
      </c>
      <c r="I160" s="1" t="s">
        <v>23</v>
      </c>
      <c r="J160" s="1" t="s">
        <v>17</v>
      </c>
      <c r="K160" s="1">
        <v>51.18</v>
      </c>
      <c r="L160" s="1">
        <v>37.25</v>
      </c>
    </row>
    <row r="161" spans="1:12" ht="15.6" x14ac:dyDescent="0.3">
      <c r="A161" s="1" t="s">
        <v>197</v>
      </c>
      <c r="B161" s="1">
        <v>53</v>
      </c>
      <c r="C161" s="1" t="s">
        <v>26</v>
      </c>
      <c r="D161" s="1" t="s">
        <v>30</v>
      </c>
      <c r="E161" s="1" t="s">
        <v>40</v>
      </c>
      <c r="F161" s="1">
        <v>552</v>
      </c>
      <c r="G161" s="1">
        <v>202</v>
      </c>
      <c r="H161" s="1" t="s">
        <v>32</v>
      </c>
      <c r="I161" s="1" t="s">
        <v>16</v>
      </c>
      <c r="J161" s="1" t="s">
        <v>24</v>
      </c>
      <c r="K161" s="1">
        <v>67.33</v>
      </c>
      <c r="L161" s="1">
        <v>47.09</v>
      </c>
    </row>
    <row r="162" spans="1:12" ht="15.6" x14ac:dyDescent="0.3">
      <c r="A162" s="1" t="s">
        <v>198</v>
      </c>
      <c r="B162" s="1">
        <v>44</v>
      </c>
      <c r="C162" s="1" t="s">
        <v>34</v>
      </c>
      <c r="D162" s="1" t="s">
        <v>30</v>
      </c>
      <c r="E162" s="1" t="s">
        <v>40</v>
      </c>
      <c r="F162" s="1">
        <v>340</v>
      </c>
      <c r="G162" s="1">
        <v>483</v>
      </c>
      <c r="H162" s="1" t="s">
        <v>32</v>
      </c>
      <c r="I162" s="1" t="s">
        <v>16</v>
      </c>
      <c r="J162" s="1" t="s">
        <v>17</v>
      </c>
      <c r="K162" s="1">
        <v>84.14</v>
      </c>
      <c r="L162" s="1">
        <v>66</v>
      </c>
    </row>
    <row r="163" spans="1:12" ht="15.6" x14ac:dyDescent="0.3">
      <c r="A163" s="1" t="s">
        <v>199</v>
      </c>
      <c r="B163" s="1">
        <v>43</v>
      </c>
      <c r="C163" s="1" t="s">
        <v>19</v>
      </c>
      <c r="D163" s="1" t="s">
        <v>27</v>
      </c>
      <c r="E163" s="1" t="s">
        <v>36</v>
      </c>
      <c r="F163" s="1">
        <v>316</v>
      </c>
      <c r="G163" s="1">
        <v>392</v>
      </c>
      <c r="H163" s="1" t="s">
        <v>32</v>
      </c>
      <c r="I163" s="1" t="s">
        <v>16</v>
      </c>
      <c r="J163" s="1" t="s">
        <v>17</v>
      </c>
      <c r="K163" s="1">
        <v>26.22</v>
      </c>
      <c r="L163" s="1">
        <v>37.24</v>
      </c>
    </row>
    <row r="164" spans="1:12" ht="15.6" x14ac:dyDescent="0.3">
      <c r="A164" s="1" t="s">
        <v>200</v>
      </c>
      <c r="B164" s="1">
        <v>55</v>
      </c>
      <c r="C164" s="1" t="s">
        <v>29</v>
      </c>
      <c r="D164" s="1" t="s">
        <v>14</v>
      </c>
      <c r="E164" s="1" t="s">
        <v>40</v>
      </c>
      <c r="F164" s="1">
        <v>10</v>
      </c>
      <c r="G164" s="1">
        <v>6</v>
      </c>
      <c r="H164" s="1" t="s">
        <v>37</v>
      </c>
      <c r="I164" s="1" t="s">
        <v>16</v>
      </c>
      <c r="J164" s="1" t="s">
        <v>24</v>
      </c>
      <c r="K164" s="1">
        <v>84.4</v>
      </c>
      <c r="L164" s="1">
        <v>54.76</v>
      </c>
    </row>
    <row r="165" spans="1:12" ht="15.6" x14ac:dyDescent="0.3">
      <c r="A165" s="1" t="s">
        <v>201</v>
      </c>
      <c r="B165" s="1">
        <v>28</v>
      </c>
      <c r="C165" s="1" t="s">
        <v>26</v>
      </c>
      <c r="D165" s="1" t="s">
        <v>30</v>
      </c>
      <c r="E165" s="1" t="s">
        <v>45</v>
      </c>
      <c r="F165" s="1">
        <v>460</v>
      </c>
      <c r="G165" s="1">
        <v>252</v>
      </c>
      <c r="H165" s="1" t="s">
        <v>15</v>
      </c>
      <c r="I165" s="1" t="s">
        <v>23</v>
      </c>
      <c r="J165" s="1" t="s">
        <v>38</v>
      </c>
      <c r="K165" s="1">
        <v>89.39</v>
      </c>
      <c r="L165" s="1">
        <v>44.99</v>
      </c>
    </row>
    <row r="166" spans="1:12" ht="15.6" x14ac:dyDescent="0.3">
      <c r="A166" s="1" t="s">
        <v>202</v>
      </c>
      <c r="B166" s="1">
        <v>15</v>
      </c>
      <c r="C166" s="1" t="s">
        <v>26</v>
      </c>
      <c r="D166" s="1" t="s">
        <v>27</v>
      </c>
      <c r="E166" s="1" t="s">
        <v>21</v>
      </c>
      <c r="F166" s="1">
        <v>414</v>
      </c>
      <c r="G166" s="1">
        <v>107</v>
      </c>
      <c r="H166" s="1" t="s">
        <v>48</v>
      </c>
      <c r="I166" s="1" t="s">
        <v>23</v>
      </c>
      <c r="J166" s="1" t="s">
        <v>38</v>
      </c>
      <c r="K166" s="1">
        <v>60.49</v>
      </c>
      <c r="L166" s="1">
        <v>42.3</v>
      </c>
    </row>
    <row r="167" spans="1:12" ht="15.6" x14ac:dyDescent="0.3">
      <c r="A167" s="1" t="s">
        <v>203</v>
      </c>
      <c r="B167" s="1">
        <v>38</v>
      </c>
      <c r="C167" s="1" t="s">
        <v>13</v>
      </c>
      <c r="D167" s="1" t="s">
        <v>20</v>
      </c>
      <c r="E167" s="1" t="s">
        <v>31</v>
      </c>
      <c r="F167" s="1">
        <v>119</v>
      </c>
      <c r="G167" s="1">
        <v>32</v>
      </c>
      <c r="H167" s="1" t="s">
        <v>22</v>
      </c>
      <c r="I167" s="1" t="s">
        <v>16</v>
      </c>
      <c r="J167" s="1" t="s">
        <v>17</v>
      </c>
      <c r="K167" s="1">
        <v>71.37</v>
      </c>
      <c r="L167" s="1">
        <v>71.69</v>
      </c>
    </row>
    <row r="168" spans="1:12" ht="15.6" x14ac:dyDescent="0.3">
      <c r="A168" s="1" t="s">
        <v>204</v>
      </c>
      <c r="B168" s="1">
        <v>28</v>
      </c>
      <c r="C168" s="1" t="s">
        <v>13</v>
      </c>
      <c r="D168" s="1" t="s">
        <v>27</v>
      </c>
      <c r="E168" s="1" t="s">
        <v>31</v>
      </c>
      <c r="F168" s="1">
        <v>590</v>
      </c>
      <c r="G168" s="1">
        <v>31</v>
      </c>
      <c r="H168" s="1" t="s">
        <v>32</v>
      </c>
      <c r="I168" s="1" t="s">
        <v>23</v>
      </c>
      <c r="J168" s="1" t="s">
        <v>17</v>
      </c>
      <c r="K168" s="1">
        <v>46.96</v>
      </c>
      <c r="L168" s="1">
        <v>69.66</v>
      </c>
    </row>
    <row r="169" spans="1:12" ht="15.6" x14ac:dyDescent="0.3">
      <c r="A169" s="1" t="s">
        <v>205</v>
      </c>
      <c r="B169" s="1">
        <v>28</v>
      </c>
      <c r="C169" s="1" t="s">
        <v>29</v>
      </c>
      <c r="D169" s="1" t="s">
        <v>30</v>
      </c>
      <c r="E169" s="1" t="s">
        <v>21</v>
      </c>
      <c r="F169" s="1">
        <v>160</v>
      </c>
      <c r="G169" s="1">
        <v>258</v>
      </c>
      <c r="H169" s="1" t="s">
        <v>22</v>
      </c>
      <c r="I169" s="1" t="s">
        <v>16</v>
      </c>
      <c r="J169" s="1" t="s">
        <v>17</v>
      </c>
      <c r="K169" s="1">
        <v>55.13</v>
      </c>
      <c r="L169" s="1">
        <v>66.17</v>
      </c>
    </row>
    <row r="170" spans="1:12" ht="15.6" x14ac:dyDescent="0.3">
      <c r="A170" s="1" t="s">
        <v>206</v>
      </c>
      <c r="B170" s="1">
        <v>58</v>
      </c>
      <c r="C170" s="1" t="s">
        <v>13</v>
      </c>
      <c r="D170" s="1" t="s">
        <v>14</v>
      </c>
      <c r="E170" s="1" t="s">
        <v>45</v>
      </c>
      <c r="F170" s="1">
        <v>130</v>
      </c>
      <c r="G170" s="1">
        <v>121</v>
      </c>
      <c r="H170" s="1" t="s">
        <v>22</v>
      </c>
      <c r="I170" s="1" t="s">
        <v>16</v>
      </c>
      <c r="J170" s="1" t="s">
        <v>17</v>
      </c>
      <c r="K170" s="1">
        <v>55.98</v>
      </c>
      <c r="L170" s="1">
        <v>49.2</v>
      </c>
    </row>
    <row r="171" spans="1:12" ht="15.6" x14ac:dyDescent="0.3">
      <c r="A171" s="1" t="s">
        <v>207</v>
      </c>
      <c r="B171" s="1">
        <v>49</v>
      </c>
      <c r="C171" s="1" t="s">
        <v>29</v>
      </c>
      <c r="D171" s="1" t="s">
        <v>35</v>
      </c>
      <c r="E171" s="1" t="s">
        <v>2</v>
      </c>
      <c r="F171" s="1">
        <v>424</v>
      </c>
      <c r="G171" s="1">
        <v>177</v>
      </c>
      <c r="H171" s="1" t="s">
        <v>15</v>
      </c>
      <c r="I171" s="1" t="s">
        <v>16</v>
      </c>
      <c r="J171" s="1" t="s">
        <v>17</v>
      </c>
      <c r="K171" s="1">
        <v>48.88</v>
      </c>
      <c r="L171" s="1">
        <v>27.79</v>
      </c>
    </row>
    <row r="172" spans="1:12" ht="15.6" x14ac:dyDescent="0.3">
      <c r="A172" s="1" t="s">
        <v>208</v>
      </c>
      <c r="B172" s="1">
        <v>51</v>
      </c>
      <c r="C172" s="1" t="s">
        <v>29</v>
      </c>
      <c r="D172" s="1" t="s">
        <v>14</v>
      </c>
      <c r="E172" s="1" t="s">
        <v>2</v>
      </c>
      <c r="F172" s="1">
        <v>352</v>
      </c>
      <c r="G172" s="1">
        <v>436</v>
      </c>
      <c r="H172" s="1" t="s">
        <v>48</v>
      </c>
      <c r="I172" s="1" t="s">
        <v>23</v>
      </c>
      <c r="J172" s="1" t="s">
        <v>24</v>
      </c>
      <c r="K172" s="1">
        <v>46.16</v>
      </c>
      <c r="L172" s="1">
        <v>41.49</v>
      </c>
    </row>
    <row r="173" spans="1:12" ht="15.6" x14ac:dyDescent="0.3">
      <c r="A173" s="1" t="s">
        <v>209</v>
      </c>
      <c r="B173" s="1">
        <v>41</v>
      </c>
      <c r="C173" s="1" t="s">
        <v>13</v>
      </c>
      <c r="D173" s="1" t="s">
        <v>27</v>
      </c>
      <c r="E173" s="1" t="s">
        <v>45</v>
      </c>
      <c r="F173" s="1">
        <v>66</v>
      </c>
      <c r="G173" s="1">
        <v>13</v>
      </c>
      <c r="H173" s="1" t="s">
        <v>22</v>
      </c>
      <c r="I173" s="1" t="s">
        <v>16</v>
      </c>
      <c r="J173" s="1" t="s">
        <v>17</v>
      </c>
      <c r="K173" s="1">
        <v>12.02</v>
      </c>
      <c r="L173" s="1">
        <v>64.489999999999995</v>
      </c>
    </row>
    <row r="174" spans="1:12" ht="15.6" x14ac:dyDescent="0.3">
      <c r="A174" s="1" t="s">
        <v>210</v>
      </c>
      <c r="B174" s="1">
        <v>23</v>
      </c>
      <c r="C174" s="1" t="s">
        <v>34</v>
      </c>
      <c r="D174" s="1" t="s">
        <v>50</v>
      </c>
      <c r="E174" s="1" t="s">
        <v>40</v>
      </c>
      <c r="F174" s="1">
        <v>35</v>
      </c>
      <c r="G174" s="1">
        <v>409</v>
      </c>
      <c r="H174" s="1" t="s">
        <v>48</v>
      </c>
      <c r="I174" s="1" t="s">
        <v>16</v>
      </c>
      <c r="J174" s="1" t="s">
        <v>24</v>
      </c>
      <c r="K174" s="1">
        <v>26.33</v>
      </c>
      <c r="L174" s="1">
        <v>53.61</v>
      </c>
    </row>
    <row r="175" spans="1:12" ht="15.6" x14ac:dyDescent="0.3">
      <c r="A175" s="1" t="s">
        <v>211</v>
      </c>
      <c r="B175" s="1">
        <v>27</v>
      </c>
      <c r="C175" s="1" t="s">
        <v>19</v>
      </c>
      <c r="D175" s="1" t="s">
        <v>14</v>
      </c>
      <c r="E175" s="1" t="s">
        <v>36</v>
      </c>
      <c r="F175" s="1">
        <v>554</v>
      </c>
      <c r="G175" s="1">
        <v>260</v>
      </c>
      <c r="H175" s="1" t="s">
        <v>32</v>
      </c>
      <c r="I175" s="1" t="s">
        <v>16</v>
      </c>
      <c r="J175" s="1" t="s">
        <v>24</v>
      </c>
      <c r="K175" s="1">
        <v>39.67</v>
      </c>
      <c r="L175" s="1">
        <v>45.9</v>
      </c>
    </row>
    <row r="176" spans="1:12" ht="15.6" x14ac:dyDescent="0.3">
      <c r="A176" s="1" t="s">
        <v>212</v>
      </c>
      <c r="B176" s="1">
        <v>48</v>
      </c>
      <c r="C176" s="1" t="s">
        <v>29</v>
      </c>
      <c r="D176" s="1" t="s">
        <v>27</v>
      </c>
      <c r="E176" s="1" t="s">
        <v>45</v>
      </c>
      <c r="F176" s="1">
        <v>401</v>
      </c>
      <c r="G176" s="1">
        <v>27</v>
      </c>
      <c r="H176" s="1" t="s">
        <v>15</v>
      </c>
      <c r="I176" s="1" t="s">
        <v>16</v>
      </c>
      <c r="J176" s="1" t="s">
        <v>24</v>
      </c>
      <c r="K176" s="1">
        <v>77.83</v>
      </c>
      <c r="L176" s="1">
        <v>47.62</v>
      </c>
    </row>
    <row r="177" spans="1:12" ht="15.6" x14ac:dyDescent="0.3">
      <c r="A177" s="1" t="s">
        <v>213</v>
      </c>
      <c r="B177" s="1">
        <v>13</v>
      </c>
      <c r="C177" s="1" t="s">
        <v>19</v>
      </c>
      <c r="D177" s="1" t="s">
        <v>27</v>
      </c>
      <c r="E177" s="1" t="s">
        <v>31</v>
      </c>
      <c r="F177" s="1">
        <v>588</v>
      </c>
      <c r="G177" s="1">
        <v>412</v>
      </c>
      <c r="H177" s="1" t="s">
        <v>37</v>
      </c>
      <c r="I177" s="1" t="s">
        <v>16</v>
      </c>
      <c r="J177" s="1" t="s">
        <v>38</v>
      </c>
      <c r="K177" s="1">
        <v>40.17</v>
      </c>
      <c r="L177" s="1">
        <v>9.2799999999999994</v>
      </c>
    </row>
    <row r="178" spans="1:12" ht="15.6" x14ac:dyDescent="0.3">
      <c r="A178" s="1" t="s">
        <v>214</v>
      </c>
      <c r="B178" s="1">
        <v>51</v>
      </c>
      <c r="C178" s="1" t="s">
        <v>19</v>
      </c>
      <c r="D178" s="1" t="s">
        <v>20</v>
      </c>
      <c r="E178" s="1" t="s">
        <v>2</v>
      </c>
      <c r="F178" s="1">
        <v>10</v>
      </c>
      <c r="G178" s="1">
        <v>486</v>
      </c>
      <c r="H178" s="1" t="s">
        <v>32</v>
      </c>
      <c r="I178" s="1" t="s">
        <v>16</v>
      </c>
      <c r="J178" s="1" t="s">
        <v>24</v>
      </c>
      <c r="K178" s="1">
        <v>76.790000000000006</v>
      </c>
      <c r="L178" s="1">
        <v>38.08</v>
      </c>
    </row>
    <row r="179" spans="1:12" ht="15.6" x14ac:dyDescent="0.3">
      <c r="A179" s="1" t="s">
        <v>215</v>
      </c>
      <c r="B179" s="1">
        <v>31</v>
      </c>
      <c r="C179" s="1" t="s">
        <v>29</v>
      </c>
      <c r="D179" s="1" t="s">
        <v>35</v>
      </c>
      <c r="E179" s="1" t="s">
        <v>31</v>
      </c>
      <c r="F179" s="1">
        <v>433</v>
      </c>
      <c r="G179" s="1">
        <v>169</v>
      </c>
      <c r="H179" s="1" t="s">
        <v>15</v>
      </c>
      <c r="I179" s="1" t="s">
        <v>16</v>
      </c>
      <c r="J179" s="1" t="s">
        <v>38</v>
      </c>
      <c r="K179" s="1">
        <v>12.17</v>
      </c>
      <c r="L179" s="1">
        <v>73.510000000000005</v>
      </c>
    </row>
    <row r="180" spans="1:12" ht="15.6" x14ac:dyDescent="0.3">
      <c r="A180" s="1" t="s">
        <v>216</v>
      </c>
      <c r="B180" s="1">
        <v>46</v>
      </c>
      <c r="C180" s="1" t="s">
        <v>29</v>
      </c>
      <c r="D180" s="1" t="s">
        <v>20</v>
      </c>
      <c r="E180" s="1" t="s">
        <v>36</v>
      </c>
      <c r="F180" s="1">
        <v>424</v>
      </c>
      <c r="G180" s="1">
        <v>60</v>
      </c>
      <c r="H180" s="1" t="s">
        <v>15</v>
      </c>
      <c r="I180" s="1" t="s">
        <v>23</v>
      </c>
      <c r="J180" s="1" t="s">
        <v>38</v>
      </c>
      <c r="K180" s="1">
        <v>47.09</v>
      </c>
      <c r="L180" s="1">
        <v>63.09</v>
      </c>
    </row>
    <row r="181" spans="1:12" ht="15.6" x14ac:dyDescent="0.3">
      <c r="A181" s="1" t="s">
        <v>217</v>
      </c>
      <c r="B181" s="1">
        <v>57</v>
      </c>
      <c r="C181" s="1" t="s">
        <v>19</v>
      </c>
      <c r="D181" s="1" t="s">
        <v>30</v>
      </c>
      <c r="E181" s="1" t="s">
        <v>2</v>
      </c>
      <c r="F181" s="1">
        <v>346</v>
      </c>
      <c r="G181" s="1">
        <v>471</v>
      </c>
      <c r="H181" s="1" t="s">
        <v>48</v>
      </c>
      <c r="I181" s="1" t="s">
        <v>16</v>
      </c>
      <c r="J181" s="1" t="s">
        <v>17</v>
      </c>
      <c r="K181" s="1">
        <v>10.55</v>
      </c>
      <c r="L181" s="1">
        <v>12.77</v>
      </c>
    </row>
    <row r="182" spans="1:12" ht="15.6" x14ac:dyDescent="0.3">
      <c r="A182" s="1" t="s">
        <v>218</v>
      </c>
      <c r="B182" s="1">
        <v>45</v>
      </c>
      <c r="C182" s="1" t="s">
        <v>29</v>
      </c>
      <c r="D182" s="1" t="s">
        <v>50</v>
      </c>
      <c r="E182" s="1" t="s">
        <v>45</v>
      </c>
      <c r="F182" s="1">
        <v>493</v>
      </c>
      <c r="G182" s="1">
        <v>62</v>
      </c>
      <c r="H182" s="1" t="s">
        <v>37</v>
      </c>
      <c r="I182" s="1" t="s">
        <v>16</v>
      </c>
      <c r="J182" s="1" t="s">
        <v>17</v>
      </c>
      <c r="K182" s="1">
        <v>46.76</v>
      </c>
      <c r="L182" s="1">
        <v>67.91</v>
      </c>
    </row>
    <row r="183" spans="1:12" ht="15.6" x14ac:dyDescent="0.3">
      <c r="A183" s="1" t="s">
        <v>219</v>
      </c>
      <c r="B183" s="1">
        <v>15</v>
      </c>
      <c r="C183" s="1" t="s">
        <v>29</v>
      </c>
      <c r="D183" s="1" t="s">
        <v>20</v>
      </c>
      <c r="E183" s="1" t="s">
        <v>45</v>
      </c>
      <c r="F183" s="1">
        <v>355</v>
      </c>
      <c r="G183" s="1">
        <v>360</v>
      </c>
      <c r="H183" s="1" t="s">
        <v>22</v>
      </c>
      <c r="I183" s="1" t="s">
        <v>16</v>
      </c>
      <c r="J183" s="1" t="s">
        <v>24</v>
      </c>
      <c r="K183" s="1">
        <v>35.409999999999997</v>
      </c>
      <c r="L183" s="1">
        <v>55.65</v>
      </c>
    </row>
    <row r="184" spans="1:12" ht="15.6" x14ac:dyDescent="0.3">
      <c r="A184" s="1" t="s">
        <v>220</v>
      </c>
      <c r="B184" s="1">
        <v>29</v>
      </c>
      <c r="C184" s="1" t="s">
        <v>26</v>
      </c>
      <c r="D184" s="1" t="s">
        <v>20</v>
      </c>
      <c r="E184" s="1" t="s">
        <v>36</v>
      </c>
      <c r="F184" s="1">
        <v>545</v>
      </c>
      <c r="G184" s="1">
        <v>358</v>
      </c>
      <c r="H184" s="1" t="s">
        <v>48</v>
      </c>
      <c r="I184" s="1" t="s">
        <v>23</v>
      </c>
      <c r="J184" s="1" t="s">
        <v>24</v>
      </c>
      <c r="K184" s="1">
        <v>50.97</v>
      </c>
      <c r="L184" s="1">
        <v>32.39</v>
      </c>
    </row>
    <row r="185" spans="1:12" ht="15.6" x14ac:dyDescent="0.3">
      <c r="A185" s="1" t="s">
        <v>221</v>
      </c>
      <c r="B185" s="1">
        <v>46</v>
      </c>
      <c r="C185" s="1" t="s">
        <v>19</v>
      </c>
      <c r="D185" s="1" t="s">
        <v>35</v>
      </c>
      <c r="E185" s="1" t="s">
        <v>36</v>
      </c>
      <c r="F185" s="1">
        <v>484</v>
      </c>
      <c r="G185" s="1">
        <v>257</v>
      </c>
      <c r="H185" s="1" t="s">
        <v>22</v>
      </c>
      <c r="I185" s="1" t="s">
        <v>23</v>
      </c>
      <c r="J185" s="1" t="s">
        <v>24</v>
      </c>
      <c r="K185" s="1">
        <v>18.170000000000002</v>
      </c>
      <c r="L185" s="1">
        <v>65.78</v>
      </c>
    </row>
    <row r="186" spans="1:12" ht="15.6" x14ac:dyDescent="0.3">
      <c r="A186" s="1" t="s">
        <v>222</v>
      </c>
      <c r="B186" s="1">
        <v>17</v>
      </c>
      <c r="C186" s="1" t="s">
        <v>19</v>
      </c>
      <c r="D186" s="1" t="s">
        <v>35</v>
      </c>
      <c r="E186" s="1" t="s">
        <v>21</v>
      </c>
      <c r="F186" s="1">
        <v>496</v>
      </c>
      <c r="G186" s="1">
        <v>278</v>
      </c>
      <c r="H186" s="1" t="s">
        <v>32</v>
      </c>
      <c r="I186" s="1" t="s">
        <v>16</v>
      </c>
      <c r="J186" s="1" t="s">
        <v>38</v>
      </c>
      <c r="K186" s="1">
        <v>70.239999999999995</v>
      </c>
      <c r="L186" s="1">
        <v>54.17</v>
      </c>
    </row>
    <row r="187" spans="1:12" ht="15.6" x14ac:dyDescent="0.3">
      <c r="A187" s="1" t="s">
        <v>223</v>
      </c>
      <c r="B187" s="1">
        <v>54</v>
      </c>
      <c r="C187" s="1" t="s">
        <v>19</v>
      </c>
      <c r="D187" s="1" t="s">
        <v>50</v>
      </c>
      <c r="E187" s="1" t="s">
        <v>36</v>
      </c>
      <c r="F187" s="1">
        <v>374</v>
      </c>
      <c r="G187" s="1">
        <v>187</v>
      </c>
      <c r="H187" s="1" t="s">
        <v>22</v>
      </c>
      <c r="I187" s="1" t="s">
        <v>23</v>
      </c>
      <c r="J187" s="1" t="s">
        <v>38</v>
      </c>
      <c r="K187" s="1">
        <v>11.2</v>
      </c>
      <c r="L187" s="1">
        <v>6.42</v>
      </c>
    </row>
    <row r="188" spans="1:12" ht="15.6" x14ac:dyDescent="0.3">
      <c r="A188" s="1" t="s">
        <v>224</v>
      </c>
      <c r="B188" s="1">
        <v>13</v>
      </c>
      <c r="C188" s="1" t="s">
        <v>34</v>
      </c>
      <c r="D188" s="1" t="s">
        <v>14</v>
      </c>
      <c r="E188" s="1" t="s">
        <v>40</v>
      </c>
      <c r="F188" s="1">
        <v>14</v>
      </c>
      <c r="G188" s="1">
        <v>361</v>
      </c>
      <c r="H188" s="1" t="s">
        <v>22</v>
      </c>
      <c r="I188" s="1" t="s">
        <v>23</v>
      </c>
      <c r="J188" s="1" t="s">
        <v>38</v>
      </c>
      <c r="K188" s="1">
        <v>79.41</v>
      </c>
      <c r="L188" s="1">
        <v>5.25</v>
      </c>
    </row>
    <row r="189" spans="1:12" ht="15.6" x14ac:dyDescent="0.3">
      <c r="A189" s="1" t="s">
        <v>225</v>
      </c>
      <c r="B189" s="1">
        <v>39</v>
      </c>
      <c r="C189" s="1" t="s">
        <v>26</v>
      </c>
      <c r="D189" s="1" t="s">
        <v>50</v>
      </c>
      <c r="E189" s="1" t="s">
        <v>31</v>
      </c>
      <c r="F189" s="1">
        <v>155</v>
      </c>
      <c r="G189" s="1">
        <v>218</v>
      </c>
      <c r="H189" s="1" t="s">
        <v>48</v>
      </c>
      <c r="I189" s="1" t="s">
        <v>23</v>
      </c>
      <c r="J189" s="1" t="s">
        <v>17</v>
      </c>
      <c r="K189" s="1">
        <v>77.959999999999994</v>
      </c>
      <c r="L189" s="1">
        <v>26.73</v>
      </c>
    </row>
    <row r="190" spans="1:12" ht="15.6" x14ac:dyDescent="0.3">
      <c r="A190" s="1" t="s">
        <v>226</v>
      </c>
      <c r="B190" s="1">
        <v>40</v>
      </c>
      <c r="C190" s="1" t="s">
        <v>19</v>
      </c>
      <c r="D190" s="1" t="s">
        <v>50</v>
      </c>
      <c r="E190" s="1" t="s">
        <v>45</v>
      </c>
      <c r="F190" s="1">
        <v>175</v>
      </c>
      <c r="G190" s="1">
        <v>440</v>
      </c>
      <c r="H190" s="1" t="s">
        <v>32</v>
      </c>
      <c r="I190" s="1" t="s">
        <v>16</v>
      </c>
      <c r="J190" s="1" t="s">
        <v>17</v>
      </c>
      <c r="K190" s="1">
        <v>53.68</v>
      </c>
      <c r="L190" s="1">
        <v>79.099999999999994</v>
      </c>
    </row>
    <row r="191" spans="1:12" ht="15.6" x14ac:dyDescent="0.3">
      <c r="A191" s="1" t="s">
        <v>227</v>
      </c>
      <c r="B191" s="1">
        <v>32</v>
      </c>
      <c r="C191" s="1" t="s">
        <v>13</v>
      </c>
      <c r="D191" s="1" t="s">
        <v>14</v>
      </c>
      <c r="E191" s="1" t="s">
        <v>40</v>
      </c>
      <c r="F191" s="1">
        <v>265</v>
      </c>
      <c r="G191" s="1">
        <v>294</v>
      </c>
      <c r="H191" s="1" t="s">
        <v>22</v>
      </c>
      <c r="I191" s="1" t="s">
        <v>23</v>
      </c>
      <c r="J191" s="1" t="s">
        <v>38</v>
      </c>
      <c r="K191" s="1">
        <v>28.72</v>
      </c>
      <c r="L191" s="1">
        <v>32.880000000000003</v>
      </c>
    </row>
    <row r="192" spans="1:12" ht="15.6" x14ac:dyDescent="0.3">
      <c r="A192" s="1" t="s">
        <v>228</v>
      </c>
      <c r="B192" s="1">
        <v>41</v>
      </c>
      <c r="C192" s="1" t="s">
        <v>29</v>
      </c>
      <c r="D192" s="1" t="s">
        <v>50</v>
      </c>
      <c r="E192" s="1" t="s">
        <v>21</v>
      </c>
      <c r="F192" s="1">
        <v>567</v>
      </c>
      <c r="G192" s="1">
        <v>102</v>
      </c>
      <c r="H192" s="1" t="s">
        <v>32</v>
      </c>
      <c r="I192" s="1" t="s">
        <v>16</v>
      </c>
      <c r="J192" s="1" t="s">
        <v>24</v>
      </c>
      <c r="K192" s="1">
        <v>34.549999999999997</v>
      </c>
      <c r="L192" s="1">
        <v>16.059999999999999</v>
      </c>
    </row>
    <row r="193" spans="1:12" ht="15.6" x14ac:dyDescent="0.3">
      <c r="A193" s="1" t="s">
        <v>229</v>
      </c>
      <c r="B193" s="1">
        <v>21</v>
      </c>
      <c r="C193" s="1" t="s">
        <v>34</v>
      </c>
      <c r="D193" s="1" t="s">
        <v>27</v>
      </c>
      <c r="E193" s="1" t="s">
        <v>2</v>
      </c>
      <c r="F193" s="1">
        <v>80</v>
      </c>
      <c r="G193" s="1">
        <v>396</v>
      </c>
      <c r="H193" s="1" t="s">
        <v>48</v>
      </c>
      <c r="I193" s="1" t="s">
        <v>23</v>
      </c>
      <c r="J193" s="1" t="s">
        <v>24</v>
      </c>
      <c r="K193" s="1">
        <v>55.7</v>
      </c>
      <c r="L193" s="1">
        <v>46.86</v>
      </c>
    </row>
    <row r="194" spans="1:12" ht="15.6" x14ac:dyDescent="0.3">
      <c r="A194" s="1" t="s">
        <v>230</v>
      </c>
      <c r="B194" s="1">
        <v>33</v>
      </c>
      <c r="C194" s="1" t="s">
        <v>29</v>
      </c>
      <c r="D194" s="1" t="s">
        <v>20</v>
      </c>
      <c r="E194" s="1" t="s">
        <v>40</v>
      </c>
      <c r="F194" s="1">
        <v>203</v>
      </c>
      <c r="G194" s="1">
        <v>446</v>
      </c>
      <c r="H194" s="1" t="s">
        <v>15</v>
      </c>
      <c r="I194" s="1" t="s">
        <v>16</v>
      </c>
      <c r="J194" s="1" t="s">
        <v>17</v>
      </c>
      <c r="K194" s="1">
        <v>19.8</v>
      </c>
      <c r="L194" s="1">
        <v>50.58</v>
      </c>
    </row>
    <row r="195" spans="1:12" ht="15.6" x14ac:dyDescent="0.3">
      <c r="A195" s="1" t="s">
        <v>231</v>
      </c>
      <c r="B195" s="1">
        <v>33</v>
      </c>
      <c r="C195" s="1" t="s">
        <v>13</v>
      </c>
      <c r="D195" s="1" t="s">
        <v>27</v>
      </c>
      <c r="E195" s="1" t="s">
        <v>21</v>
      </c>
      <c r="F195" s="1">
        <v>56</v>
      </c>
      <c r="G195" s="1">
        <v>8</v>
      </c>
      <c r="H195" s="1" t="s">
        <v>32</v>
      </c>
      <c r="I195" s="1" t="s">
        <v>16</v>
      </c>
      <c r="J195" s="1" t="s">
        <v>38</v>
      </c>
      <c r="K195" s="1">
        <v>68.319999999999993</v>
      </c>
      <c r="L195" s="1">
        <v>32.549999999999997</v>
      </c>
    </row>
    <row r="196" spans="1:12" ht="15.6" x14ac:dyDescent="0.3">
      <c r="A196" s="1" t="s">
        <v>232</v>
      </c>
      <c r="B196" s="1">
        <v>31</v>
      </c>
      <c r="C196" s="1" t="s">
        <v>34</v>
      </c>
      <c r="D196" s="1" t="s">
        <v>20</v>
      </c>
      <c r="E196" s="1" t="s">
        <v>45</v>
      </c>
      <c r="F196" s="1">
        <v>135</v>
      </c>
      <c r="G196" s="1">
        <v>53</v>
      </c>
      <c r="H196" s="1" t="s">
        <v>37</v>
      </c>
      <c r="I196" s="1" t="s">
        <v>16</v>
      </c>
      <c r="J196" s="1" t="s">
        <v>17</v>
      </c>
      <c r="K196" s="1">
        <v>71.98</v>
      </c>
      <c r="L196" s="1">
        <v>34.28</v>
      </c>
    </row>
    <row r="197" spans="1:12" ht="15.6" x14ac:dyDescent="0.3">
      <c r="A197" s="1" t="s">
        <v>233</v>
      </c>
      <c r="B197" s="1">
        <v>52</v>
      </c>
      <c r="C197" s="1" t="s">
        <v>19</v>
      </c>
      <c r="D197" s="1" t="s">
        <v>14</v>
      </c>
      <c r="E197" s="1" t="s">
        <v>45</v>
      </c>
      <c r="F197" s="1">
        <v>583</v>
      </c>
      <c r="G197" s="1">
        <v>230</v>
      </c>
      <c r="H197" s="1" t="s">
        <v>22</v>
      </c>
      <c r="I197" s="1" t="s">
        <v>23</v>
      </c>
      <c r="J197" s="1" t="s">
        <v>38</v>
      </c>
      <c r="K197" s="1">
        <v>33.53</v>
      </c>
      <c r="L197" s="1">
        <v>15.93</v>
      </c>
    </row>
    <row r="198" spans="1:12" ht="15.6" x14ac:dyDescent="0.3">
      <c r="A198" s="1" t="s">
        <v>234</v>
      </c>
      <c r="B198" s="1">
        <v>33</v>
      </c>
      <c r="C198" s="1" t="s">
        <v>19</v>
      </c>
      <c r="D198" s="1" t="s">
        <v>50</v>
      </c>
      <c r="E198" s="1" t="s">
        <v>31</v>
      </c>
      <c r="F198" s="1">
        <v>171</v>
      </c>
      <c r="G198" s="1">
        <v>314</v>
      </c>
      <c r="H198" s="1" t="s">
        <v>48</v>
      </c>
      <c r="I198" s="1" t="s">
        <v>16</v>
      </c>
      <c r="J198" s="1" t="s">
        <v>17</v>
      </c>
      <c r="K198" s="1">
        <v>73.84</v>
      </c>
      <c r="L198" s="1">
        <v>38.979999999999997</v>
      </c>
    </row>
    <row r="199" spans="1:12" ht="15.6" x14ac:dyDescent="0.3">
      <c r="A199" s="1" t="s">
        <v>235</v>
      </c>
      <c r="B199" s="1">
        <v>21</v>
      </c>
      <c r="C199" s="1" t="s">
        <v>29</v>
      </c>
      <c r="D199" s="1" t="s">
        <v>50</v>
      </c>
      <c r="E199" s="1" t="s">
        <v>40</v>
      </c>
      <c r="F199" s="1">
        <v>144</v>
      </c>
      <c r="G199" s="1">
        <v>415</v>
      </c>
      <c r="H199" s="1" t="s">
        <v>15</v>
      </c>
      <c r="I199" s="1" t="s">
        <v>16</v>
      </c>
      <c r="J199" s="1" t="s">
        <v>24</v>
      </c>
      <c r="K199" s="1">
        <v>18.34</v>
      </c>
      <c r="L199" s="1">
        <v>50.23</v>
      </c>
    </row>
    <row r="200" spans="1:12" ht="15.6" x14ac:dyDescent="0.3">
      <c r="A200" s="1" t="s">
        <v>236</v>
      </c>
      <c r="B200" s="1">
        <v>48</v>
      </c>
      <c r="C200" s="1" t="s">
        <v>29</v>
      </c>
      <c r="D200" s="1" t="s">
        <v>14</v>
      </c>
      <c r="E200" s="1" t="s">
        <v>21</v>
      </c>
      <c r="F200" s="1">
        <v>480</v>
      </c>
      <c r="G200" s="1">
        <v>104</v>
      </c>
      <c r="H200" s="1" t="s">
        <v>22</v>
      </c>
      <c r="I200" s="1" t="s">
        <v>23</v>
      </c>
      <c r="J200" s="1" t="s">
        <v>38</v>
      </c>
      <c r="K200" s="1">
        <v>16.23</v>
      </c>
      <c r="L200" s="1">
        <v>77.290000000000006</v>
      </c>
    </row>
    <row r="201" spans="1:12" ht="15.6" x14ac:dyDescent="0.3">
      <c r="A201" s="1" t="s">
        <v>237</v>
      </c>
      <c r="B201" s="1">
        <v>52</v>
      </c>
      <c r="C201" s="1" t="s">
        <v>34</v>
      </c>
      <c r="D201" s="1" t="s">
        <v>20</v>
      </c>
      <c r="E201" s="1" t="s">
        <v>45</v>
      </c>
      <c r="F201" s="1">
        <v>558</v>
      </c>
      <c r="G201" s="1">
        <v>77</v>
      </c>
      <c r="H201" s="1" t="s">
        <v>48</v>
      </c>
      <c r="I201" s="1" t="s">
        <v>16</v>
      </c>
      <c r="J201" s="1" t="s">
        <v>38</v>
      </c>
      <c r="K201" s="1">
        <v>36.5</v>
      </c>
      <c r="L201" s="1">
        <v>61.94</v>
      </c>
    </row>
    <row r="202" spans="1:12" ht="15.6" x14ac:dyDescent="0.3">
      <c r="A202" s="1" t="s">
        <v>238</v>
      </c>
      <c r="B202" s="1">
        <v>55</v>
      </c>
      <c r="C202" s="1" t="s">
        <v>29</v>
      </c>
      <c r="D202" s="1" t="s">
        <v>20</v>
      </c>
      <c r="E202" s="1" t="s">
        <v>45</v>
      </c>
      <c r="F202" s="1">
        <v>435</v>
      </c>
      <c r="G202" s="1">
        <v>423</v>
      </c>
      <c r="H202" s="1" t="s">
        <v>48</v>
      </c>
      <c r="I202" s="1" t="s">
        <v>16</v>
      </c>
      <c r="J202" s="1" t="s">
        <v>17</v>
      </c>
      <c r="K202" s="1">
        <v>72.48</v>
      </c>
      <c r="L202" s="1">
        <v>54.21</v>
      </c>
    </row>
    <row r="203" spans="1:12" ht="15.6" x14ac:dyDescent="0.3">
      <c r="A203" s="1" t="s">
        <v>239</v>
      </c>
      <c r="B203" s="1">
        <v>30</v>
      </c>
      <c r="C203" s="1" t="s">
        <v>34</v>
      </c>
      <c r="D203" s="1" t="s">
        <v>20</v>
      </c>
      <c r="E203" s="1" t="s">
        <v>21</v>
      </c>
      <c r="F203" s="1">
        <v>12</v>
      </c>
      <c r="G203" s="1">
        <v>266</v>
      </c>
      <c r="H203" s="1" t="s">
        <v>22</v>
      </c>
      <c r="I203" s="1" t="s">
        <v>16</v>
      </c>
      <c r="J203" s="1" t="s">
        <v>17</v>
      </c>
      <c r="K203" s="1">
        <v>58.15</v>
      </c>
      <c r="L203" s="1">
        <v>45.46</v>
      </c>
    </row>
    <row r="204" spans="1:12" ht="15.6" x14ac:dyDescent="0.3">
      <c r="A204" s="1" t="s">
        <v>240</v>
      </c>
      <c r="B204" s="1">
        <v>59</v>
      </c>
      <c r="C204" s="1" t="s">
        <v>19</v>
      </c>
      <c r="D204" s="1" t="s">
        <v>50</v>
      </c>
      <c r="E204" s="1" t="s">
        <v>31</v>
      </c>
      <c r="F204" s="1">
        <v>154</v>
      </c>
      <c r="G204" s="1">
        <v>1</v>
      </c>
      <c r="H204" s="1" t="s">
        <v>32</v>
      </c>
      <c r="I204" s="1" t="s">
        <v>23</v>
      </c>
      <c r="J204" s="1" t="s">
        <v>24</v>
      </c>
      <c r="K204" s="1">
        <v>33.24</v>
      </c>
      <c r="L204" s="1">
        <v>22.03</v>
      </c>
    </row>
    <row r="205" spans="1:12" ht="15.6" x14ac:dyDescent="0.3">
      <c r="A205" s="1" t="s">
        <v>241</v>
      </c>
      <c r="B205" s="1">
        <v>38</v>
      </c>
      <c r="C205" s="1" t="s">
        <v>19</v>
      </c>
      <c r="D205" s="1" t="s">
        <v>35</v>
      </c>
      <c r="E205" s="1" t="s">
        <v>31</v>
      </c>
      <c r="F205" s="1">
        <v>339</v>
      </c>
      <c r="G205" s="1">
        <v>900</v>
      </c>
      <c r="H205" s="1" t="s">
        <v>37</v>
      </c>
      <c r="I205" s="1" t="s">
        <v>16</v>
      </c>
      <c r="J205" s="1" t="s">
        <v>24</v>
      </c>
      <c r="K205" s="1">
        <v>52.37</v>
      </c>
      <c r="L205" s="1">
        <v>48.03</v>
      </c>
    </row>
    <row r="206" spans="1:12" ht="15.6" x14ac:dyDescent="0.3">
      <c r="A206" s="1" t="s">
        <v>242</v>
      </c>
      <c r="B206" s="1">
        <v>38</v>
      </c>
      <c r="C206" s="1" t="s">
        <v>13</v>
      </c>
      <c r="D206" s="1" t="s">
        <v>35</v>
      </c>
      <c r="E206" s="1" t="s">
        <v>31</v>
      </c>
      <c r="F206" s="1">
        <v>404</v>
      </c>
      <c r="G206" s="1">
        <v>383</v>
      </c>
      <c r="H206" s="1" t="s">
        <v>22</v>
      </c>
      <c r="I206" s="1" t="s">
        <v>16</v>
      </c>
      <c r="J206" s="1" t="s">
        <v>17</v>
      </c>
      <c r="K206" s="1">
        <v>47.08</v>
      </c>
      <c r="L206" s="1">
        <v>65.39</v>
      </c>
    </row>
    <row r="207" spans="1:12" ht="15.6" x14ac:dyDescent="0.3">
      <c r="A207" s="1" t="s">
        <v>243</v>
      </c>
      <c r="B207" s="1">
        <v>46</v>
      </c>
      <c r="C207" s="1" t="s">
        <v>34</v>
      </c>
      <c r="D207" s="1" t="s">
        <v>50</v>
      </c>
      <c r="E207" s="1" t="s">
        <v>40</v>
      </c>
      <c r="F207" s="1">
        <v>553</v>
      </c>
      <c r="G207" s="1">
        <v>321</v>
      </c>
      <c r="H207" s="1" t="s">
        <v>48</v>
      </c>
      <c r="I207" s="1" t="s">
        <v>16</v>
      </c>
      <c r="J207" s="1" t="s">
        <v>24</v>
      </c>
      <c r="K207" s="1">
        <v>65.48</v>
      </c>
      <c r="L207" s="1">
        <v>53.69</v>
      </c>
    </row>
    <row r="208" spans="1:12" ht="15.6" x14ac:dyDescent="0.3">
      <c r="A208" s="1" t="s">
        <v>244</v>
      </c>
      <c r="B208" s="1">
        <v>44</v>
      </c>
      <c r="C208" s="1" t="s">
        <v>29</v>
      </c>
      <c r="D208" s="1" t="s">
        <v>14</v>
      </c>
      <c r="E208" s="1" t="s">
        <v>31</v>
      </c>
      <c r="F208" s="1">
        <v>310</v>
      </c>
      <c r="G208" s="1">
        <v>178</v>
      </c>
      <c r="H208" s="1" t="s">
        <v>22</v>
      </c>
      <c r="I208" s="1" t="s">
        <v>23</v>
      </c>
      <c r="J208" s="1" t="s">
        <v>17</v>
      </c>
      <c r="K208" s="1">
        <v>87.1</v>
      </c>
      <c r="L208" s="1">
        <v>36.549999999999997</v>
      </c>
    </row>
    <row r="209" spans="1:12" ht="15.6" x14ac:dyDescent="0.3">
      <c r="A209" s="1" t="s">
        <v>245</v>
      </c>
      <c r="B209" s="1">
        <v>45</v>
      </c>
      <c r="C209" s="1" t="s">
        <v>19</v>
      </c>
      <c r="D209" s="1" t="s">
        <v>14</v>
      </c>
      <c r="E209" s="1" t="s">
        <v>40</v>
      </c>
      <c r="F209" s="1">
        <v>243</v>
      </c>
      <c r="G209" s="1">
        <v>155</v>
      </c>
      <c r="H209" s="1" t="s">
        <v>15</v>
      </c>
      <c r="I209" s="1" t="s">
        <v>16</v>
      </c>
      <c r="J209" s="1" t="s">
        <v>24</v>
      </c>
      <c r="K209" s="1">
        <v>37.69</v>
      </c>
      <c r="L209" s="1">
        <v>44.04</v>
      </c>
    </row>
    <row r="210" spans="1:12" ht="15.6" x14ac:dyDescent="0.3">
      <c r="A210" s="1" t="s">
        <v>246</v>
      </c>
      <c r="B210" s="1">
        <v>42</v>
      </c>
      <c r="C210" s="1" t="s">
        <v>19</v>
      </c>
      <c r="D210" s="1" t="s">
        <v>20</v>
      </c>
      <c r="E210" s="1" t="s">
        <v>40</v>
      </c>
      <c r="F210" s="1">
        <v>517</v>
      </c>
      <c r="G210" s="1">
        <v>175</v>
      </c>
      <c r="H210" s="1" t="s">
        <v>48</v>
      </c>
      <c r="I210" s="1" t="s">
        <v>23</v>
      </c>
      <c r="J210" s="1" t="s">
        <v>17</v>
      </c>
      <c r="K210" s="1">
        <v>15.9</v>
      </c>
      <c r="L210" s="1">
        <v>55.3</v>
      </c>
    </row>
    <row r="211" spans="1:12" ht="15.6" x14ac:dyDescent="0.3">
      <c r="A211" s="1" t="s">
        <v>247</v>
      </c>
      <c r="B211" s="1">
        <v>33</v>
      </c>
      <c r="C211" s="1" t="s">
        <v>34</v>
      </c>
      <c r="D211" s="1" t="s">
        <v>30</v>
      </c>
      <c r="E211" s="1" t="s">
        <v>2</v>
      </c>
      <c r="F211" s="1">
        <v>97</v>
      </c>
      <c r="G211" s="1">
        <v>52</v>
      </c>
      <c r="H211" s="1" t="s">
        <v>15</v>
      </c>
      <c r="I211" s="1" t="s">
        <v>23</v>
      </c>
      <c r="J211" s="1" t="s">
        <v>17</v>
      </c>
      <c r="K211" s="1">
        <v>40.31</v>
      </c>
      <c r="L211" s="1">
        <v>21.15</v>
      </c>
    </row>
    <row r="212" spans="1:12" ht="15.6" x14ac:dyDescent="0.3">
      <c r="A212" s="1" t="s">
        <v>248</v>
      </c>
      <c r="B212" s="1">
        <v>60</v>
      </c>
      <c r="C212" s="1" t="s">
        <v>34</v>
      </c>
      <c r="D212" s="1" t="s">
        <v>14</v>
      </c>
      <c r="E212" s="1" t="s">
        <v>31</v>
      </c>
      <c r="F212" s="1">
        <v>428</v>
      </c>
      <c r="G212" s="1">
        <v>235</v>
      </c>
      <c r="H212" s="1" t="s">
        <v>48</v>
      </c>
      <c r="I212" s="1" t="s">
        <v>16</v>
      </c>
      <c r="J212" s="1" t="s">
        <v>38</v>
      </c>
      <c r="K212" s="1">
        <v>21.66</v>
      </c>
      <c r="L212" s="1">
        <v>55.9</v>
      </c>
    </row>
    <row r="213" spans="1:12" ht="15.6" x14ac:dyDescent="0.3">
      <c r="A213" s="1" t="s">
        <v>249</v>
      </c>
      <c r="B213" s="1">
        <v>18</v>
      </c>
      <c r="C213" s="1" t="s">
        <v>19</v>
      </c>
      <c r="D213" s="1" t="s">
        <v>50</v>
      </c>
      <c r="E213" s="1" t="s">
        <v>40</v>
      </c>
      <c r="F213" s="1">
        <v>425</v>
      </c>
      <c r="G213" s="1">
        <v>492</v>
      </c>
      <c r="H213" s="1" t="s">
        <v>22</v>
      </c>
      <c r="I213" s="1" t="s">
        <v>16</v>
      </c>
      <c r="J213" s="1" t="s">
        <v>17</v>
      </c>
      <c r="K213" s="1">
        <v>73.91</v>
      </c>
      <c r="L213" s="1">
        <v>14.59</v>
      </c>
    </row>
    <row r="214" spans="1:12" ht="15.6" x14ac:dyDescent="0.3">
      <c r="A214" s="1" t="s">
        <v>250</v>
      </c>
      <c r="B214" s="1">
        <v>19</v>
      </c>
      <c r="C214" s="1" t="s">
        <v>13</v>
      </c>
      <c r="D214" s="1" t="s">
        <v>20</v>
      </c>
      <c r="E214" s="1" t="s">
        <v>40</v>
      </c>
      <c r="F214" s="1">
        <v>402</v>
      </c>
      <c r="G214" s="1">
        <v>250</v>
      </c>
      <c r="H214" s="1" t="s">
        <v>22</v>
      </c>
      <c r="I214" s="1" t="s">
        <v>23</v>
      </c>
      <c r="J214" s="1" t="s">
        <v>38</v>
      </c>
      <c r="K214" s="1">
        <v>89.04</v>
      </c>
      <c r="L214" s="1">
        <v>31.49</v>
      </c>
    </row>
    <row r="215" spans="1:12" ht="15.6" x14ac:dyDescent="0.3">
      <c r="A215" s="1" t="s">
        <v>251</v>
      </c>
      <c r="B215" s="1">
        <v>44</v>
      </c>
      <c r="C215" s="1" t="s">
        <v>13</v>
      </c>
      <c r="D215" s="1" t="s">
        <v>35</v>
      </c>
      <c r="E215" s="1" t="s">
        <v>40</v>
      </c>
      <c r="F215" s="1">
        <v>442</v>
      </c>
      <c r="G215" s="1">
        <v>193</v>
      </c>
      <c r="H215" s="1" t="s">
        <v>32</v>
      </c>
      <c r="I215" s="1" t="s">
        <v>23</v>
      </c>
      <c r="J215" s="1" t="s">
        <v>24</v>
      </c>
      <c r="K215" s="1">
        <v>38.479999999999997</v>
      </c>
      <c r="L215" s="1">
        <v>52.28</v>
      </c>
    </row>
    <row r="216" spans="1:12" ht="15.6" x14ac:dyDescent="0.3">
      <c r="A216" s="1" t="s">
        <v>252</v>
      </c>
      <c r="B216" s="1">
        <v>25</v>
      </c>
      <c r="C216" s="1" t="s">
        <v>19</v>
      </c>
      <c r="D216" s="1" t="s">
        <v>35</v>
      </c>
      <c r="E216" s="1" t="s">
        <v>2</v>
      </c>
      <c r="F216" s="1">
        <v>146</v>
      </c>
      <c r="G216" s="1">
        <v>170</v>
      </c>
      <c r="H216" s="1" t="s">
        <v>22</v>
      </c>
      <c r="I216" s="1" t="s">
        <v>16</v>
      </c>
      <c r="J216" s="1" t="s">
        <v>24</v>
      </c>
      <c r="K216" s="1">
        <v>47.31</v>
      </c>
      <c r="L216" s="1">
        <v>38.909999999999997</v>
      </c>
    </row>
    <row r="217" spans="1:12" ht="15.6" x14ac:dyDescent="0.3">
      <c r="A217" s="1" t="s">
        <v>253</v>
      </c>
      <c r="B217" s="1">
        <v>27</v>
      </c>
      <c r="C217" s="1" t="s">
        <v>29</v>
      </c>
      <c r="D217" s="1" t="s">
        <v>30</v>
      </c>
      <c r="E217" s="1" t="s">
        <v>45</v>
      </c>
      <c r="F217" s="1">
        <v>358</v>
      </c>
      <c r="G217" s="1">
        <v>54</v>
      </c>
      <c r="H217" s="1" t="s">
        <v>37</v>
      </c>
      <c r="I217" s="1" t="s">
        <v>23</v>
      </c>
      <c r="J217" s="1" t="s">
        <v>17</v>
      </c>
      <c r="K217" s="1">
        <v>59.1</v>
      </c>
      <c r="L217" s="1">
        <v>44.22</v>
      </c>
    </row>
    <row r="218" spans="1:12" ht="15.6" x14ac:dyDescent="0.3">
      <c r="A218" s="1" t="s">
        <v>254</v>
      </c>
      <c r="B218" s="1">
        <v>58</v>
      </c>
      <c r="C218" s="1" t="s">
        <v>34</v>
      </c>
      <c r="D218" s="1" t="s">
        <v>27</v>
      </c>
      <c r="E218" s="1" t="s">
        <v>45</v>
      </c>
      <c r="F218" s="1">
        <v>352</v>
      </c>
      <c r="G218" s="1">
        <v>392</v>
      </c>
      <c r="H218" s="1" t="s">
        <v>32</v>
      </c>
      <c r="I218" s="1" t="s">
        <v>16</v>
      </c>
      <c r="J218" s="1" t="s">
        <v>24</v>
      </c>
      <c r="K218" s="1">
        <v>15.81</v>
      </c>
      <c r="L218" s="1">
        <v>61.07</v>
      </c>
    </row>
    <row r="219" spans="1:12" ht="15.6" x14ac:dyDescent="0.3">
      <c r="A219" s="1" t="s">
        <v>255</v>
      </c>
      <c r="B219" s="1">
        <v>31</v>
      </c>
      <c r="C219" s="1" t="s">
        <v>26</v>
      </c>
      <c r="D219" s="1" t="s">
        <v>14</v>
      </c>
      <c r="E219" s="1" t="s">
        <v>36</v>
      </c>
      <c r="F219" s="1">
        <v>230</v>
      </c>
      <c r="G219" s="1">
        <v>466</v>
      </c>
      <c r="H219" s="1" t="s">
        <v>22</v>
      </c>
      <c r="I219" s="1" t="s">
        <v>16</v>
      </c>
      <c r="J219" s="1" t="s">
        <v>38</v>
      </c>
      <c r="K219" s="1">
        <v>36.450000000000003</v>
      </c>
      <c r="L219" s="1">
        <v>69.16</v>
      </c>
    </row>
    <row r="220" spans="1:12" ht="15.6" x14ac:dyDescent="0.3">
      <c r="A220" s="1" t="s">
        <v>256</v>
      </c>
      <c r="B220" s="1">
        <v>43</v>
      </c>
      <c r="C220" s="1" t="s">
        <v>13</v>
      </c>
      <c r="D220" s="1" t="s">
        <v>30</v>
      </c>
      <c r="E220" s="1" t="s">
        <v>2</v>
      </c>
      <c r="F220" s="1">
        <v>600</v>
      </c>
      <c r="G220" s="1">
        <v>240</v>
      </c>
      <c r="H220" s="1" t="s">
        <v>32</v>
      </c>
      <c r="I220" s="1" t="s">
        <v>23</v>
      </c>
      <c r="J220" s="1" t="s">
        <v>38</v>
      </c>
      <c r="K220" s="1">
        <v>59.14</v>
      </c>
      <c r="L220" s="1">
        <v>67.22</v>
      </c>
    </row>
    <row r="221" spans="1:12" ht="15.6" x14ac:dyDescent="0.3">
      <c r="A221" s="1" t="s">
        <v>257</v>
      </c>
      <c r="B221" s="1">
        <v>31</v>
      </c>
      <c r="C221" s="1" t="s">
        <v>19</v>
      </c>
      <c r="D221" s="1" t="s">
        <v>35</v>
      </c>
      <c r="E221" s="1" t="s">
        <v>31</v>
      </c>
      <c r="F221" s="1">
        <v>420</v>
      </c>
      <c r="G221" s="1">
        <v>175</v>
      </c>
      <c r="H221" s="1" t="s">
        <v>48</v>
      </c>
      <c r="I221" s="1" t="s">
        <v>23</v>
      </c>
      <c r="J221" s="1" t="s">
        <v>17</v>
      </c>
      <c r="K221" s="1">
        <v>78.040000000000006</v>
      </c>
      <c r="L221" s="1">
        <v>22</v>
      </c>
    </row>
    <row r="222" spans="1:12" ht="15.6" x14ac:dyDescent="0.3">
      <c r="A222" s="1" t="s">
        <v>258</v>
      </c>
      <c r="B222" s="1">
        <v>19</v>
      </c>
      <c r="C222" s="1" t="s">
        <v>29</v>
      </c>
      <c r="D222" s="1" t="s">
        <v>27</v>
      </c>
      <c r="E222" s="1" t="s">
        <v>45</v>
      </c>
      <c r="F222" s="1">
        <v>139</v>
      </c>
      <c r="G222" s="1">
        <v>468</v>
      </c>
      <c r="H222" s="1" t="s">
        <v>22</v>
      </c>
      <c r="I222" s="1" t="s">
        <v>16</v>
      </c>
      <c r="J222" s="1" t="s">
        <v>24</v>
      </c>
      <c r="K222" s="1">
        <v>85</v>
      </c>
      <c r="L222" s="1">
        <v>58.17</v>
      </c>
    </row>
    <row r="223" spans="1:12" ht="15.6" x14ac:dyDescent="0.3">
      <c r="A223" s="1" t="s">
        <v>259</v>
      </c>
      <c r="B223" s="1">
        <v>49</v>
      </c>
      <c r="C223" s="1" t="s">
        <v>19</v>
      </c>
      <c r="D223" s="1" t="s">
        <v>14</v>
      </c>
      <c r="E223" s="1" t="s">
        <v>31</v>
      </c>
      <c r="F223" s="1">
        <v>206</v>
      </c>
      <c r="G223" s="1">
        <v>202</v>
      </c>
      <c r="H223" s="1" t="s">
        <v>48</v>
      </c>
      <c r="I223" s="1" t="s">
        <v>23</v>
      </c>
      <c r="J223" s="1" t="s">
        <v>38</v>
      </c>
      <c r="K223" s="1">
        <v>76.459999999999994</v>
      </c>
      <c r="L223" s="1">
        <v>30.55</v>
      </c>
    </row>
    <row r="224" spans="1:12" ht="15.6" x14ac:dyDescent="0.3">
      <c r="A224" s="1" t="s">
        <v>260</v>
      </c>
      <c r="B224" s="1">
        <v>51</v>
      </c>
      <c r="C224" s="1" t="s">
        <v>34</v>
      </c>
      <c r="D224" s="1" t="s">
        <v>30</v>
      </c>
      <c r="E224" s="1" t="s">
        <v>21</v>
      </c>
      <c r="F224" s="1">
        <v>518</v>
      </c>
      <c r="G224" s="1">
        <v>175</v>
      </c>
      <c r="H224" s="1" t="s">
        <v>32</v>
      </c>
      <c r="I224" s="1" t="s">
        <v>16</v>
      </c>
      <c r="J224" s="1" t="s">
        <v>17</v>
      </c>
      <c r="K224" s="1">
        <v>27.35</v>
      </c>
      <c r="L224" s="1">
        <v>22.38</v>
      </c>
    </row>
    <row r="225" spans="1:12" ht="15.6" x14ac:dyDescent="0.3">
      <c r="A225" s="1" t="s">
        <v>261</v>
      </c>
      <c r="B225" s="1">
        <v>26</v>
      </c>
      <c r="C225" s="1" t="s">
        <v>34</v>
      </c>
      <c r="D225" s="1" t="s">
        <v>27</v>
      </c>
      <c r="E225" s="1" t="s">
        <v>2</v>
      </c>
      <c r="F225" s="1">
        <v>367</v>
      </c>
      <c r="G225" s="1">
        <v>320</v>
      </c>
      <c r="H225" s="1" t="s">
        <v>48</v>
      </c>
      <c r="I225" s="1" t="s">
        <v>23</v>
      </c>
      <c r="J225" s="1" t="s">
        <v>24</v>
      </c>
      <c r="K225" s="1">
        <v>59.45</v>
      </c>
      <c r="L225" s="1">
        <v>9.2200000000000006</v>
      </c>
    </row>
    <row r="226" spans="1:12" ht="15.6" x14ac:dyDescent="0.3">
      <c r="A226" s="1" t="s">
        <v>262</v>
      </c>
      <c r="B226" s="1">
        <v>56</v>
      </c>
      <c r="C226" s="1" t="s">
        <v>26</v>
      </c>
      <c r="D226" s="1" t="s">
        <v>20</v>
      </c>
      <c r="E226" s="1" t="s">
        <v>36</v>
      </c>
      <c r="F226" s="1">
        <v>417</v>
      </c>
      <c r="G226" s="1">
        <v>460</v>
      </c>
      <c r="H226" s="1" t="s">
        <v>37</v>
      </c>
      <c r="I226" s="1" t="s">
        <v>23</v>
      </c>
      <c r="J226" s="1" t="s">
        <v>24</v>
      </c>
      <c r="K226" s="1">
        <v>54.98</v>
      </c>
      <c r="L226" s="1">
        <v>58.44</v>
      </c>
    </row>
    <row r="227" spans="1:12" ht="15.6" x14ac:dyDescent="0.3">
      <c r="A227" s="1" t="s">
        <v>263</v>
      </c>
      <c r="B227" s="1">
        <v>58</v>
      </c>
      <c r="C227" s="1" t="s">
        <v>13</v>
      </c>
      <c r="D227" s="1" t="s">
        <v>20</v>
      </c>
      <c r="E227" s="1" t="s">
        <v>31</v>
      </c>
      <c r="F227" s="1">
        <v>62</v>
      </c>
      <c r="G227" s="1">
        <v>460</v>
      </c>
      <c r="H227" s="1" t="s">
        <v>22</v>
      </c>
      <c r="I227" s="1" t="s">
        <v>23</v>
      </c>
      <c r="J227" s="1" t="s">
        <v>24</v>
      </c>
      <c r="K227" s="1">
        <v>61.88</v>
      </c>
      <c r="L227" s="1">
        <v>44.78</v>
      </c>
    </row>
    <row r="228" spans="1:12" ht="15.6" x14ac:dyDescent="0.3">
      <c r="A228" s="1" t="s">
        <v>264</v>
      </c>
      <c r="B228" s="1">
        <v>53</v>
      </c>
      <c r="C228" s="1" t="s">
        <v>19</v>
      </c>
      <c r="D228" s="1" t="s">
        <v>27</v>
      </c>
      <c r="E228" s="1" t="s">
        <v>36</v>
      </c>
      <c r="F228" s="1">
        <v>600</v>
      </c>
      <c r="G228" s="1">
        <v>381</v>
      </c>
      <c r="H228" s="1" t="s">
        <v>22</v>
      </c>
      <c r="I228" s="1" t="s">
        <v>23</v>
      </c>
      <c r="J228" s="1" t="s">
        <v>38</v>
      </c>
      <c r="K228" s="1">
        <v>73.02</v>
      </c>
      <c r="L228" s="1">
        <v>36.82</v>
      </c>
    </row>
    <row r="229" spans="1:12" ht="15.6" x14ac:dyDescent="0.3">
      <c r="A229" s="1" t="s">
        <v>265</v>
      </c>
      <c r="B229" s="1">
        <v>33</v>
      </c>
      <c r="C229" s="1" t="s">
        <v>13</v>
      </c>
      <c r="D229" s="1" t="s">
        <v>50</v>
      </c>
      <c r="E229" s="1" t="s">
        <v>2</v>
      </c>
      <c r="F229" s="1">
        <v>72</v>
      </c>
      <c r="G229" s="1">
        <v>419</v>
      </c>
      <c r="H229" s="1" t="s">
        <v>32</v>
      </c>
      <c r="I229" s="1" t="s">
        <v>23</v>
      </c>
      <c r="J229" s="1" t="s">
        <v>17</v>
      </c>
      <c r="K229" s="1">
        <v>25.97</v>
      </c>
      <c r="L229" s="1">
        <v>10.35</v>
      </c>
    </row>
    <row r="230" spans="1:12" ht="15.6" x14ac:dyDescent="0.3">
      <c r="A230" s="1" t="s">
        <v>266</v>
      </c>
      <c r="B230" s="1">
        <v>37</v>
      </c>
      <c r="C230" s="1" t="s">
        <v>29</v>
      </c>
      <c r="D230" s="1" t="s">
        <v>20</v>
      </c>
      <c r="E230" s="1" t="s">
        <v>21</v>
      </c>
      <c r="F230" s="1">
        <v>82</v>
      </c>
      <c r="G230" s="1">
        <v>364</v>
      </c>
      <c r="H230" s="1" t="s">
        <v>37</v>
      </c>
      <c r="I230" s="1" t="s">
        <v>16</v>
      </c>
      <c r="J230" s="1" t="s">
        <v>17</v>
      </c>
      <c r="K230" s="1">
        <v>15.22</v>
      </c>
      <c r="L230" s="1">
        <v>34.479999999999997</v>
      </c>
    </row>
    <row r="231" spans="1:12" ht="15.6" x14ac:dyDescent="0.3">
      <c r="A231" s="1" t="s">
        <v>267</v>
      </c>
      <c r="B231" s="1">
        <v>48</v>
      </c>
      <c r="C231" s="1" t="s">
        <v>29</v>
      </c>
      <c r="D231" s="1" t="s">
        <v>14</v>
      </c>
      <c r="E231" s="1" t="s">
        <v>45</v>
      </c>
      <c r="F231" s="1">
        <v>475</v>
      </c>
      <c r="G231" s="1">
        <v>192</v>
      </c>
      <c r="H231" s="1" t="s">
        <v>37</v>
      </c>
      <c r="I231" s="1" t="s">
        <v>23</v>
      </c>
      <c r="J231" s="1" t="s">
        <v>24</v>
      </c>
      <c r="K231" s="1">
        <v>58.58</v>
      </c>
      <c r="L231" s="1">
        <v>39.31</v>
      </c>
    </row>
    <row r="232" spans="1:12" ht="15.6" x14ac:dyDescent="0.3">
      <c r="A232" s="1" t="s">
        <v>268</v>
      </c>
      <c r="B232" s="1">
        <v>60</v>
      </c>
      <c r="C232" s="1" t="s">
        <v>19</v>
      </c>
      <c r="D232" s="1" t="s">
        <v>27</v>
      </c>
      <c r="E232" s="1" t="s">
        <v>40</v>
      </c>
      <c r="F232" s="1">
        <v>259</v>
      </c>
      <c r="G232" s="1">
        <v>194</v>
      </c>
      <c r="H232" s="1" t="s">
        <v>32</v>
      </c>
      <c r="I232" s="1" t="s">
        <v>16</v>
      </c>
      <c r="J232" s="1" t="s">
        <v>24</v>
      </c>
      <c r="K232" s="1">
        <v>37.159999999999997</v>
      </c>
      <c r="L232" s="1">
        <v>47.97</v>
      </c>
    </row>
    <row r="233" spans="1:12" ht="15.6" x14ac:dyDescent="0.3">
      <c r="A233" s="1" t="s">
        <v>269</v>
      </c>
      <c r="B233" s="1">
        <v>44</v>
      </c>
      <c r="C233" s="1" t="s">
        <v>13</v>
      </c>
      <c r="D233" s="1" t="s">
        <v>35</v>
      </c>
      <c r="E233" s="1" t="s">
        <v>40</v>
      </c>
      <c r="F233" s="1">
        <v>568</v>
      </c>
      <c r="G233" s="1">
        <v>309</v>
      </c>
      <c r="H233" s="1" t="s">
        <v>22</v>
      </c>
      <c r="I233" s="1" t="s">
        <v>23</v>
      </c>
      <c r="J233" s="1" t="s">
        <v>38</v>
      </c>
      <c r="K233" s="1">
        <v>54.45</v>
      </c>
      <c r="L233" s="1">
        <v>37.369999999999997</v>
      </c>
    </row>
    <row r="234" spans="1:12" ht="15.6" x14ac:dyDescent="0.3">
      <c r="A234" s="1" t="s">
        <v>270</v>
      </c>
      <c r="B234" s="1">
        <v>15</v>
      </c>
      <c r="C234" s="1" t="s">
        <v>34</v>
      </c>
      <c r="D234" s="1" t="s">
        <v>27</v>
      </c>
      <c r="E234" s="1" t="s">
        <v>45</v>
      </c>
      <c r="F234" s="1">
        <v>401</v>
      </c>
      <c r="G234" s="1">
        <v>301</v>
      </c>
      <c r="H234" s="1" t="s">
        <v>48</v>
      </c>
      <c r="I234" s="1" t="s">
        <v>16</v>
      </c>
      <c r="J234" s="1" t="s">
        <v>17</v>
      </c>
      <c r="K234" s="1">
        <v>63.72</v>
      </c>
      <c r="L234" s="1">
        <v>35.380000000000003</v>
      </c>
    </row>
    <row r="235" spans="1:12" ht="15.6" x14ac:dyDescent="0.3">
      <c r="A235" s="1" t="s">
        <v>271</v>
      </c>
      <c r="B235" s="1">
        <v>40</v>
      </c>
      <c r="C235" s="1" t="s">
        <v>19</v>
      </c>
      <c r="D235" s="1" t="s">
        <v>20</v>
      </c>
      <c r="E235" s="1" t="s">
        <v>40</v>
      </c>
      <c r="F235" s="1">
        <v>438</v>
      </c>
      <c r="G235" s="1">
        <v>153</v>
      </c>
      <c r="H235" s="1" t="s">
        <v>15</v>
      </c>
      <c r="I235" s="1" t="s">
        <v>16</v>
      </c>
      <c r="J235" s="1" t="s">
        <v>38</v>
      </c>
      <c r="K235" s="1">
        <v>33.46</v>
      </c>
      <c r="L235" s="1">
        <v>71.81</v>
      </c>
    </row>
    <row r="236" spans="1:12" ht="15.6" x14ac:dyDescent="0.3">
      <c r="A236" s="1" t="s">
        <v>272</v>
      </c>
      <c r="B236" s="1">
        <v>36</v>
      </c>
      <c r="C236" s="1" t="s">
        <v>34</v>
      </c>
      <c r="D236" s="1" t="s">
        <v>35</v>
      </c>
      <c r="E236" s="1" t="s">
        <v>2</v>
      </c>
      <c r="F236" s="1">
        <v>590</v>
      </c>
      <c r="G236" s="1">
        <v>163</v>
      </c>
      <c r="H236" s="1" t="s">
        <v>32</v>
      </c>
      <c r="I236" s="1" t="s">
        <v>23</v>
      </c>
      <c r="J236" s="1" t="s">
        <v>17</v>
      </c>
      <c r="K236" s="1">
        <v>28.63</v>
      </c>
      <c r="L236" s="1">
        <v>6.13</v>
      </c>
    </row>
    <row r="237" spans="1:12" ht="15.6" x14ac:dyDescent="0.3">
      <c r="A237" s="1" t="s">
        <v>273</v>
      </c>
      <c r="B237" s="1">
        <v>46</v>
      </c>
      <c r="C237" s="1" t="s">
        <v>19</v>
      </c>
      <c r="D237" s="1" t="s">
        <v>30</v>
      </c>
      <c r="E237" s="1" t="s">
        <v>31</v>
      </c>
      <c r="F237" s="1">
        <v>386</v>
      </c>
      <c r="G237" s="1">
        <v>35</v>
      </c>
      <c r="H237" s="1" t="s">
        <v>32</v>
      </c>
      <c r="I237" s="1" t="s">
        <v>23</v>
      </c>
      <c r="J237" s="1" t="s">
        <v>17</v>
      </c>
      <c r="K237" s="1">
        <v>34.56</v>
      </c>
      <c r="L237" s="1">
        <v>31.15</v>
      </c>
    </row>
    <row r="238" spans="1:12" ht="15.6" x14ac:dyDescent="0.3">
      <c r="A238" s="1" t="s">
        <v>274</v>
      </c>
      <c r="B238" s="1">
        <v>49</v>
      </c>
      <c r="C238" s="1" t="s">
        <v>26</v>
      </c>
      <c r="D238" s="1" t="s">
        <v>30</v>
      </c>
      <c r="E238" s="1" t="s">
        <v>45</v>
      </c>
      <c r="F238" s="1">
        <v>295</v>
      </c>
      <c r="G238" s="1">
        <v>119</v>
      </c>
      <c r="H238" s="1" t="s">
        <v>32</v>
      </c>
      <c r="I238" s="1" t="s">
        <v>16</v>
      </c>
      <c r="J238" s="1" t="s">
        <v>24</v>
      </c>
      <c r="K238" s="1">
        <v>53.28</v>
      </c>
      <c r="L238" s="1">
        <v>10.55</v>
      </c>
    </row>
    <row r="239" spans="1:12" ht="15.6" x14ac:dyDescent="0.3">
      <c r="A239" s="1" t="s">
        <v>275</v>
      </c>
      <c r="B239" s="1">
        <v>28</v>
      </c>
      <c r="C239" s="1" t="s">
        <v>29</v>
      </c>
      <c r="D239" s="1" t="s">
        <v>27</v>
      </c>
      <c r="E239" s="1" t="s">
        <v>31</v>
      </c>
      <c r="F239" s="1">
        <v>469</v>
      </c>
      <c r="G239" s="1">
        <v>141</v>
      </c>
      <c r="H239" s="1" t="s">
        <v>15</v>
      </c>
      <c r="I239" s="1" t="s">
        <v>16</v>
      </c>
      <c r="J239" s="1" t="s">
        <v>38</v>
      </c>
      <c r="K239" s="1">
        <v>55.99</v>
      </c>
      <c r="L239" s="1">
        <v>29.45</v>
      </c>
    </row>
    <row r="240" spans="1:12" ht="15.6" x14ac:dyDescent="0.3">
      <c r="A240" s="1" t="s">
        <v>276</v>
      </c>
      <c r="B240" s="1">
        <v>49</v>
      </c>
      <c r="C240" s="1" t="s">
        <v>13</v>
      </c>
      <c r="D240" s="1" t="s">
        <v>50</v>
      </c>
      <c r="E240" s="1" t="s">
        <v>31</v>
      </c>
      <c r="F240" s="1">
        <v>471</v>
      </c>
      <c r="G240" s="1">
        <v>158</v>
      </c>
      <c r="H240" s="1" t="s">
        <v>15</v>
      </c>
      <c r="I240" s="1" t="s">
        <v>16</v>
      </c>
      <c r="J240" s="1" t="s">
        <v>24</v>
      </c>
      <c r="K240" s="1">
        <v>25.1</v>
      </c>
      <c r="L240" s="1">
        <v>17.829999999999998</v>
      </c>
    </row>
    <row r="241" spans="1:12" ht="15.6" x14ac:dyDescent="0.3">
      <c r="A241" s="1" t="s">
        <v>277</v>
      </c>
      <c r="B241" s="1">
        <v>24</v>
      </c>
      <c r="C241" s="1" t="s">
        <v>34</v>
      </c>
      <c r="D241" s="1" t="s">
        <v>27</v>
      </c>
      <c r="E241" s="1" t="s">
        <v>2</v>
      </c>
      <c r="F241" s="1">
        <v>208</v>
      </c>
      <c r="G241" s="1">
        <v>72</v>
      </c>
      <c r="H241" s="1" t="s">
        <v>32</v>
      </c>
      <c r="I241" s="1" t="s">
        <v>23</v>
      </c>
      <c r="J241" s="1" t="s">
        <v>38</v>
      </c>
      <c r="K241" s="1">
        <v>83.46</v>
      </c>
      <c r="L241" s="1">
        <v>11.43</v>
      </c>
    </row>
    <row r="242" spans="1:12" ht="15.6" x14ac:dyDescent="0.3">
      <c r="A242" s="1" t="s">
        <v>278</v>
      </c>
      <c r="B242" s="1">
        <v>29</v>
      </c>
      <c r="C242" s="1" t="s">
        <v>26</v>
      </c>
      <c r="D242" s="1" t="s">
        <v>27</v>
      </c>
      <c r="E242" s="1" t="s">
        <v>21</v>
      </c>
      <c r="F242" s="1">
        <v>160</v>
      </c>
      <c r="G242" s="1">
        <v>190</v>
      </c>
      <c r="H242" s="1" t="s">
        <v>48</v>
      </c>
      <c r="I242" s="1" t="s">
        <v>16</v>
      </c>
      <c r="J242" s="1" t="s">
        <v>24</v>
      </c>
      <c r="K242" s="1">
        <v>18.940000000000001</v>
      </c>
      <c r="L242" s="1">
        <v>52.15</v>
      </c>
    </row>
    <row r="243" spans="1:12" ht="15.6" x14ac:dyDescent="0.3">
      <c r="A243" s="1" t="s">
        <v>279</v>
      </c>
      <c r="B243" s="1">
        <v>24</v>
      </c>
      <c r="C243" s="1" t="s">
        <v>26</v>
      </c>
      <c r="D243" s="1" t="s">
        <v>20</v>
      </c>
      <c r="E243" s="1" t="s">
        <v>40</v>
      </c>
      <c r="F243" s="1">
        <v>288</v>
      </c>
      <c r="G243" s="1">
        <v>458</v>
      </c>
      <c r="H243" s="1" t="s">
        <v>15</v>
      </c>
      <c r="I243" s="1" t="s">
        <v>23</v>
      </c>
      <c r="J243" s="1" t="s">
        <v>17</v>
      </c>
      <c r="K243" s="1">
        <v>10.24</v>
      </c>
      <c r="L243" s="1">
        <v>30.22</v>
      </c>
    </row>
    <row r="244" spans="1:12" ht="15.6" x14ac:dyDescent="0.3">
      <c r="A244" s="1" t="s">
        <v>280</v>
      </c>
      <c r="B244" s="1">
        <v>25</v>
      </c>
      <c r="C244" s="1" t="s">
        <v>29</v>
      </c>
      <c r="D244" s="1" t="s">
        <v>27</v>
      </c>
      <c r="E244" s="1" t="s">
        <v>21</v>
      </c>
      <c r="F244" s="1">
        <v>108</v>
      </c>
      <c r="G244" s="1">
        <v>447</v>
      </c>
      <c r="H244" s="1" t="s">
        <v>15</v>
      </c>
      <c r="I244" s="1" t="s">
        <v>23</v>
      </c>
      <c r="J244" s="1" t="s">
        <v>17</v>
      </c>
      <c r="K244" s="1">
        <v>15.79</v>
      </c>
      <c r="L244" s="1">
        <v>26.9</v>
      </c>
    </row>
    <row r="245" spans="1:12" ht="15.6" x14ac:dyDescent="0.3">
      <c r="A245" s="1" t="s">
        <v>281</v>
      </c>
      <c r="B245" s="1">
        <v>49</v>
      </c>
      <c r="C245" s="1" t="s">
        <v>19</v>
      </c>
      <c r="D245" s="1" t="s">
        <v>30</v>
      </c>
      <c r="E245" s="1" t="s">
        <v>2</v>
      </c>
      <c r="F245" s="1">
        <v>64</v>
      </c>
      <c r="G245" s="1">
        <v>291</v>
      </c>
      <c r="H245" s="1" t="s">
        <v>22</v>
      </c>
      <c r="I245" s="1" t="s">
        <v>23</v>
      </c>
      <c r="J245" s="1" t="s">
        <v>24</v>
      </c>
      <c r="K245" s="1">
        <v>30.76</v>
      </c>
      <c r="L245" s="1">
        <v>58.73</v>
      </c>
    </row>
    <row r="246" spans="1:12" ht="15.6" x14ac:dyDescent="0.3">
      <c r="A246" s="1" t="s">
        <v>282</v>
      </c>
      <c r="B246" s="1">
        <v>41</v>
      </c>
      <c r="C246" s="1" t="s">
        <v>26</v>
      </c>
      <c r="D246" s="1" t="s">
        <v>20</v>
      </c>
      <c r="E246" s="1" t="s">
        <v>40</v>
      </c>
      <c r="F246" s="1">
        <v>143</v>
      </c>
      <c r="G246" s="1">
        <v>471</v>
      </c>
      <c r="H246" s="1" t="s">
        <v>37</v>
      </c>
      <c r="I246" s="1" t="s">
        <v>16</v>
      </c>
      <c r="J246" s="1" t="s">
        <v>24</v>
      </c>
      <c r="K246" s="1">
        <v>13.78</v>
      </c>
      <c r="L246" s="1">
        <v>34.840000000000003</v>
      </c>
    </row>
    <row r="247" spans="1:12" ht="15.6" x14ac:dyDescent="0.3">
      <c r="A247" s="1" t="s">
        <v>283</v>
      </c>
      <c r="B247" s="1">
        <v>30</v>
      </c>
      <c r="C247" s="1" t="s">
        <v>13</v>
      </c>
      <c r="D247" s="1" t="s">
        <v>35</v>
      </c>
      <c r="E247" s="1" t="s">
        <v>36</v>
      </c>
      <c r="F247" s="1">
        <v>107</v>
      </c>
      <c r="G247" s="1">
        <v>268</v>
      </c>
      <c r="H247" s="1" t="s">
        <v>22</v>
      </c>
      <c r="I247" s="1" t="s">
        <v>16</v>
      </c>
      <c r="J247" s="1" t="s">
        <v>17</v>
      </c>
      <c r="K247" s="1">
        <v>75.88</v>
      </c>
      <c r="L247" s="1">
        <v>23.05</v>
      </c>
    </row>
    <row r="248" spans="1:12" ht="15.6" x14ac:dyDescent="0.3">
      <c r="A248" s="1" t="s">
        <v>284</v>
      </c>
      <c r="B248" s="1">
        <v>34</v>
      </c>
      <c r="C248" s="1" t="s">
        <v>26</v>
      </c>
      <c r="D248" s="1" t="s">
        <v>27</v>
      </c>
      <c r="E248" s="1" t="s">
        <v>36</v>
      </c>
      <c r="F248" s="1">
        <v>86</v>
      </c>
      <c r="G248" s="1">
        <v>131</v>
      </c>
      <c r="H248" s="1" t="s">
        <v>48</v>
      </c>
      <c r="I248" s="1" t="s">
        <v>23</v>
      </c>
      <c r="J248" s="1" t="s">
        <v>38</v>
      </c>
      <c r="K248" s="1">
        <v>43.46</v>
      </c>
      <c r="L248" s="1">
        <v>48.45</v>
      </c>
    </row>
    <row r="249" spans="1:12" ht="15.6" x14ac:dyDescent="0.3">
      <c r="A249" s="1" t="s">
        <v>285</v>
      </c>
      <c r="B249" s="1">
        <v>15</v>
      </c>
      <c r="C249" s="1" t="s">
        <v>29</v>
      </c>
      <c r="D249" s="1" t="s">
        <v>27</v>
      </c>
      <c r="E249" s="1" t="s">
        <v>21</v>
      </c>
      <c r="F249" s="1">
        <v>91</v>
      </c>
      <c r="G249" s="1">
        <v>924</v>
      </c>
      <c r="H249" s="1" t="s">
        <v>48</v>
      </c>
      <c r="I249" s="1" t="s">
        <v>16</v>
      </c>
      <c r="J249" s="1" t="s">
        <v>24</v>
      </c>
      <c r="K249" s="1">
        <v>76.66</v>
      </c>
      <c r="L249" s="1">
        <v>40.89</v>
      </c>
    </row>
    <row r="250" spans="1:12" ht="15.6" x14ac:dyDescent="0.3">
      <c r="A250" s="1" t="s">
        <v>286</v>
      </c>
      <c r="B250" s="1">
        <v>53</v>
      </c>
      <c r="C250" s="1" t="s">
        <v>26</v>
      </c>
      <c r="D250" s="1" t="s">
        <v>20</v>
      </c>
      <c r="E250" s="1" t="s">
        <v>2</v>
      </c>
      <c r="F250" s="1">
        <v>432</v>
      </c>
      <c r="G250" s="1">
        <v>445</v>
      </c>
      <c r="H250" s="1" t="s">
        <v>22</v>
      </c>
      <c r="I250" s="1" t="s">
        <v>23</v>
      </c>
      <c r="J250" s="1" t="s">
        <v>38</v>
      </c>
      <c r="K250" s="1">
        <v>57.22</v>
      </c>
      <c r="L250" s="1">
        <v>53.08</v>
      </c>
    </row>
    <row r="251" spans="1:12" ht="15.6" x14ac:dyDescent="0.3">
      <c r="A251" s="1" t="s">
        <v>287</v>
      </c>
      <c r="B251" s="1">
        <v>59</v>
      </c>
      <c r="C251" s="1" t="s">
        <v>19</v>
      </c>
      <c r="D251" s="1" t="s">
        <v>30</v>
      </c>
      <c r="E251" s="1" t="s">
        <v>21</v>
      </c>
      <c r="F251" s="1">
        <v>166</v>
      </c>
      <c r="G251" s="1">
        <v>475</v>
      </c>
      <c r="H251" s="1" t="s">
        <v>15</v>
      </c>
      <c r="I251" s="1" t="s">
        <v>23</v>
      </c>
      <c r="J251" s="1" t="s">
        <v>17</v>
      </c>
      <c r="K251" s="1">
        <v>58.95</v>
      </c>
      <c r="L251" s="1">
        <v>23.43</v>
      </c>
    </row>
    <row r="252" spans="1:12" ht="15.6" x14ac:dyDescent="0.3">
      <c r="A252" s="1" t="s">
        <v>288</v>
      </c>
      <c r="B252" s="1">
        <v>56</v>
      </c>
      <c r="C252" s="1" t="s">
        <v>26</v>
      </c>
      <c r="D252" s="1" t="s">
        <v>50</v>
      </c>
      <c r="E252" s="1" t="s">
        <v>2</v>
      </c>
      <c r="F252" s="1">
        <v>169</v>
      </c>
      <c r="G252" s="1">
        <v>150</v>
      </c>
      <c r="H252" s="1" t="s">
        <v>32</v>
      </c>
      <c r="I252" s="1" t="s">
        <v>16</v>
      </c>
      <c r="J252" s="1" t="s">
        <v>17</v>
      </c>
      <c r="K252" s="1">
        <v>62.26</v>
      </c>
      <c r="L252" s="1">
        <v>49.82</v>
      </c>
    </row>
    <row r="253" spans="1:12" ht="15.6" x14ac:dyDescent="0.3">
      <c r="A253" s="1" t="s">
        <v>289</v>
      </c>
      <c r="B253" s="1">
        <v>56</v>
      </c>
      <c r="C253" s="1" t="s">
        <v>19</v>
      </c>
      <c r="D253" s="1" t="s">
        <v>35</v>
      </c>
      <c r="E253" s="1" t="s">
        <v>21</v>
      </c>
      <c r="F253" s="1">
        <v>517</v>
      </c>
      <c r="G253" s="1">
        <v>404</v>
      </c>
      <c r="H253" s="1" t="s">
        <v>22</v>
      </c>
      <c r="I253" s="1" t="s">
        <v>23</v>
      </c>
      <c r="J253" s="1" t="s">
        <v>17</v>
      </c>
      <c r="K253" s="1">
        <v>79.88</v>
      </c>
      <c r="L253" s="1">
        <v>24.67</v>
      </c>
    </row>
    <row r="254" spans="1:12" ht="15.6" x14ac:dyDescent="0.3">
      <c r="A254" s="1" t="s">
        <v>290</v>
      </c>
      <c r="B254" s="1">
        <v>20</v>
      </c>
      <c r="C254" s="1" t="s">
        <v>13</v>
      </c>
      <c r="D254" s="1" t="s">
        <v>35</v>
      </c>
      <c r="E254" s="1" t="s">
        <v>45</v>
      </c>
      <c r="F254" s="1">
        <v>583</v>
      </c>
      <c r="G254" s="1">
        <v>287</v>
      </c>
      <c r="H254" s="1" t="s">
        <v>32</v>
      </c>
      <c r="I254" s="1" t="s">
        <v>16</v>
      </c>
      <c r="J254" s="1" t="s">
        <v>24</v>
      </c>
      <c r="K254" s="1">
        <v>15.48</v>
      </c>
      <c r="L254" s="1">
        <v>12.31</v>
      </c>
    </row>
    <row r="255" spans="1:12" ht="15.6" x14ac:dyDescent="0.3">
      <c r="A255" s="1" t="s">
        <v>291</v>
      </c>
      <c r="B255" s="1">
        <v>19</v>
      </c>
      <c r="C255" s="1" t="s">
        <v>34</v>
      </c>
      <c r="D255" s="1" t="s">
        <v>27</v>
      </c>
      <c r="E255" s="1" t="s">
        <v>31</v>
      </c>
      <c r="F255" s="1">
        <v>424</v>
      </c>
      <c r="G255" s="1">
        <v>454</v>
      </c>
      <c r="H255" s="1" t="s">
        <v>32</v>
      </c>
      <c r="I255" s="1" t="s">
        <v>23</v>
      </c>
      <c r="J255" s="1" t="s">
        <v>24</v>
      </c>
      <c r="K255" s="1">
        <v>71.41</v>
      </c>
      <c r="L255" s="1">
        <v>75.31</v>
      </c>
    </row>
    <row r="256" spans="1:12" ht="15.6" x14ac:dyDescent="0.3">
      <c r="A256" s="1" t="s">
        <v>292</v>
      </c>
      <c r="B256" s="1">
        <v>58</v>
      </c>
      <c r="C256" s="1" t="s">
        <v>34</v>
      </c>
      <c r="D256" s="1" t="s">
        <v>50</v>
      </c>
      <c r="E256" s="1" t="s">
        <v>31</v>
      </c>
      <c r="F256" s="1">
        <v>426</v>
      </c>
      <c r="G256" s="1">
        <v>94</v>
      </c>
      <c r="H256" s="1" t="s">
        <v>22</v>
      </c>
      <c r="I256" s="1" t="s">
        <v>23</v>
      </c>
      <c r="J256" s="1" t="s">
        <v>24</v>
      </c>
      <c r="K256" s="1">
        <v>41.31</v>
      </c>
      <c r="L256" s="1">
        <v>62.79</v>
      </c>
    </row>
    <row r="257" spans="1:12" ht="15.6" x14ac:dyDescent="0.3">
      <c r="A257" s="1" t="s">
        <v>293</v>
      </c>
      <c r="B257" s="1">
        <v>39</v>
      </c>
      <c r="C257" s="1" t="s">
        <v>13</v>
      </c>
      <c r="D257" s="1" t="s">
        <v>14</v>
      </c>
      <c r="E257" s="1" t="s">
        <v>31</v>
      </c>
      <c r="F257" s="1">
        <v>130</v>
      </c>
      <c r="G257" s="1">
        <v>480</v>
      </c>
      <c r="H257" s="1" t="s">
        <v>15</v>
      </c>
      <c r="I257" s="1" t="s">
        <v>23</v>
      </c>
      <c r="J257" s="1" t="s">
        <v>24</v>
      </c>
      <c r="K257" s="1">
        <v>23.47</v>
      </c>
      <c r="L257" s="1">
        <v>48.66</v>
      </c>
    </row>
    <row r="258" spans="1:12" ht="15.6" x14ac:dyDescent="0.3">
      <c r="A258" s="1" t="s">
        <v>294</v>
      </c>
      <c r="B258" s="1">
        <v>37</v>
      </c>
      <c r="C258" s="1" t="s">
        <v>26</v>
      </c>
      <c r="D258" s="1" t="s">
        <v>27</v>
      </c>
      <c r="E258" s="1" t="s">
        <v>21</v>
      </c>
      <c r="F258" s="1">
        <v>113</v>
      </c>
      <c r="G258" s="1">
        <v>360</v>
      </c>
      <c r="H258" s="1" t="s">
        <v>48</v>
      </c>
      <c r="I258" s="1" t="s">
        <v>16</v>
      </c>
      <c r="J258" s="1" t="s">
        <v>38</v>
      </c>
      <c r="K258" s="1">
        <v>87.61</v>
      </c>
      <c r="L258" s="1">
        <v>61.65</v>
      </c>
    </row>
    <row r="259" spans="1:12" ht="15.6" x14ac:dyDescent="0.3">
      <c r="A259" s="1" t="s">
        <v>295</v>
      </c>
      <c r="B259" s="1">
        <v>38</v>
      </c>
      <c r="C259" s="1" t="s">
        <v>29</v>
      </c>
      <c r="D259" s="1" t="s">
        <v>27</v>
      </c>
      <c r="E259" s="1" t="s">
        <v>21</v>
      </c>
      <c r="F259" s="1">
        <v>43</v>
      </c>
      <c r="G259" s="1">
        <v>445</v>
      </c>
      <c r="H259" s="1" t="s">
        <v>22</v>
      </c>
      <c r="I259" s="1" t="s">
        <v>16</v>
      </c>
      <c r="J259" s="1" t="s">
        <v>38</v>
      </c>
      <c r="K259" s="1">
        <v>19.02</v>
      </c>
      <c r="L259" s="1">
        <v>23.67</v>
      </c>
    </row>
    <row r="260" spans="1:12" ht="15.6" x14ac:dyDescent="0.3">
      <c r="A260" s="1" t="s">
        <v>296</v>
      </c>
      <c r="B260" s="1">
        <v>52</v>
      </c>
      <c r="C260" s="1" t="s">
        <v>19</v>
      </c>
      <c r="D260" s="1" t="s">
        <v>50</v>
      </c>
      <c r="E260" s="1" t="s">
        <v>40</v>
      </c>
      <c r="F260" s="1">
        <v>317</v>
      </c>
      <c r="G260" s="1">
        <v>254</v>
      </c>
      <c r="H260" s="1" t="s">
        <v>48</v>
      </c>
      <c r="I260" s="1" t="s">
        <v>16</v>
      </c>
      <c r="J260" s="1" t="s">
        <v>24</v>
      </c>
      <c r="K260" s="1">
        <v>59.4</v>
      </c>
      <c r="L260" s="1">
        <v>8.6199999999999992</v>
      </c>
    </row>
    <row r="261" spans="1:12" ht="15.6" x14ac:dyDescent="0.3">
      <c r="A261" s="1" t="s">
        <v>297</v>
      </c>
      <c r="B261" s="1">
        <v>44</v>
      </c>
      <c r="C261" s="1" t="s">
        <v>34</v>
      </c>
      <c r="D261" s="1" t="s">
        <v>50</v>
      </c>
      <c r="E261" s="1" t="s">
        <v>21</v>
      </c>
      <c r="F261" s="1">
        <v>216</v>
      </c>
      <c r="G261" s="1">
        <v>39</v>
      </c>
      <c r="H261" s="1" t="s">
        <v>48</v>
      </c>
      <c r="I261" s="1" t="s">
        <v>16</v>
      </c>
      <c r="J261" s="1" t="s">
        <v>38</v>
      </c>
      <c r="K261" s="1">
        <v>49.39</v>
      </c>
      <c r="L261" s="1">
        <v>34.840000000000003</v>
      </c>
    </row>
    <row r="262" spans="1:12" ht="15.6" x14ac:dyDescent="0.3">
      <c r="A262" s="1" t="s">
        <v>298</v>
      </c>
      <c r="B262" s="1">
        <v>35</v>
      </c>
      <c r="C262" s="1" t="s">
        <v>13</v>
      </c>
      <c r="D262" s="1" t="s">
        <v>50</v>
      </c>
      <c r="E262" s="1" t="s">
        <v>36</v>
      </c>
      <c r="F262" s="1">
        <v>543</v>
      </c>
      <c r="G262" s="1">
        <v>485</v>
      </c>
      <c r="H262" s="1" t="s">
        <v>32</v>
      </c>
      <c r="I262" s="1" t="s">
        <v>16</v>
      </c>
      <c r="J262" s="1" t="s">
        <v>17</v>
      </c>
      <c r="K262" s="1">
        <v>25.59</v>
      </c>
      <c r="L262" s="1">
        <v>41.77</v>
      </c>
    </row>
    <row r="263" spans="1:12" ht="15.6" x14ac:dyDescent="0.3">
      <c r="A263" s="1" t="s">
        <v>299</v>
      </c>
      <c r="B263" s="1">
        <v>49</v>
      </c>
      <c r="C263" s="1" t="s">
        <v>34</v>
      </c>
      <c r="D263" s="1" t="s">
        <v>50</v>
      </c>
      <c r="E263" s="1" t="s">
        <v>36</v>
      </c>
      <c r="F263" s="1">
        <v>382</v>
      </c>
      <c r="G263" s="1">
        <v>4</v>
      </c>
      <c r="H263" s="1" t="s">
        <v>48</v>
      </c>
      <c r="I263" s="1" t="s">
        <v>23</v>
      </c>
      <c r="J263" s="1" t="s">
        <v>17</v>
      </c>
      <c r="K263" s="1">
        <v>76.42</v>
      </c>
      <c r="L263" s="1">
        <v>9.01</v>
      </c>
    </row>
    <row r="264" spans="1:12" ht="15.6" x14ac:dyDescent="0.3">
      <c r="A264" s="1" t="s">
        <v>300</v>
      </c>
      <c r="B264" s="1">
        <v>47</v>
      </c>
      <c r="C264" s="1" t="s">
        <v>26</v>
      </c>
      <c r="D264" s="1" t="s">
        <v>27</v>
      </c>
      <c r="E264" s="1" t="s">
        <v>21</v>
      </c>
      <c r="F264" s="1">
        <v>167</v>
      </c>
      <c r="G264" s="1">
        <v>381</v>
      </c>
      <c r="H264" s="1" t="s">
        <v>32</v>
      </c>
      <c r="I264" s="1" t="s">
        <v>16</v>
      </c>
      <c r="J264" s="1" t="s">
        <v>38</v>
      </c>
      <c r="K264" s="1">
        <v>57.73</v>
      </c>
      <c r="L264" s="1">
        <v>9.2100000000000009</v>
      </c>
    </row>
    <row r="265" spans="1:12" ht="15.6" x14ac:dyDescent="0.3">
      <c r="A265" s="1" t="s">
        <v>301</v>
      </c>
      <c r="B265" s="1">
        <v>52</v>
      </c>
      <c r="C265" s="1" t="s">
        <v>29</v>
      </c>
      <c r="D265" s="1" t="s">
        <v>30</v>
      </c>
      <c r="E265" s="1" t="s">
        <v>21</v>
      </c>
      <c r="F265" s="1">
        <v>43</v>
      </c>
      <c r="G265" s="1">
        <v>472</v>
      </c>
      <c r="H265" s="1" t="s">
        <v>22</v>
      </c>
      <c r="I265" s="1" t="s">
        <v>23</v>
      </c>
      <c r="J265" s="1" t="s">
        <v>17</v>
      </c>
      <c r="K265" s="1">
        <v>54.57</v>
      </c>
      <c r="L265" s="1">
        <v>14.87</v>
      </c>
    </row>
    <row r="266" spans="1:12" ht="15.6" x14ac:dyDescent="0.3">
      <c r="A266" s="1" t="s">
        <v>302</v>
      </c>
      <c r="B266" s="1">
        <v>33</v>
      </c>
      <c r="C266" s="1" t="s">
        <v>26</v>
      </c>
      <c r="D266" s="1" t="s">
        <v>35</v>
      </c>
      <c r="E266" s="1" t="s">
        <v>36</v>
      </c>
      <c r="F266" s="1">
        <v>187</v>
      </c>
      <c r="G266" s="1">
        <v>11</v>
      </c>
      <c r="H266" s="1" t="s">
        <v>37</v>
      </c>
      <c r="I266" s="1" t="s">
        <v>23</v>
      </c>
      <c r="J266" s="1" t="s">
        <v>38</v>
      </c>
      <c r="K266" s="1">
        <v>46.87</v>
      </c>
      <c r="L266" s="1">
        <v>30.75</v>
      </c>
    </row>
    <row r="267" spans="1:12" ht="15.6" x14ac:dyDescent="0.3">
      <c r="A267" s="1" t="s">
        <v>303</v>
      </c>
      <c r="B267" s="1">
        <v>55</v>
      </c>
      <c r="C267" s="1" t="s">
        <v>29</v>
      </c>
      <c r="D267" s="1" t="s">
        <v>50</v>
      </c>
      <c r="E267" s="1" t="s">
        <v>45</v>
      </c>
      <c r="F267" s="1">
        <v>91</v>
      </c>
      <c r="G267" s="1">
        <v>214</v>
      </c>
      <c r="H267" s="1" t="s">
        <v>22</v>
      </c>
      <c r="I267" s="1" t="s">
        <v>16</v>
      </c>
      <c r="J267" s="1" t="s">
        <v>17</v>
      </c>
      <c r="K267" s="1">
        <v>45.1</v>
      </c>
      <c r="L267" s="1">
        <v>26.31</v>
      </c>
    </row>
    <row r="268" spans="1:12" ht="15.6" x14ac:dyDescent="0.3">
      <c r="A268" s="1" t="s">
        <v>304</v>
      </c>
      <c r="B268" s="1">
        <v>45</v>
      </c>
      <c r="C268" s="1" t="s">
        <v>26</v>
      </c>
      <c r="D268" s="1" t="s">
        <v>35</v>
      </c>
      <c r="E268" s="1" t="s">
        <v>2</v>
      </c>
      <c r="F268" s="1">
        <v>363</v>
      </c>
      <c r="G268" s="1">
        <v>202</v>
      </c>
      <c r="H268" s="1" t="s">
        <v>37</v>
      </c>
      <c r="I268" s="1" t="s">
        <v>23</v>
      </c>
      <c r="J268" s="1" t="s">
        <v>38</v>
      </c>
      <c r="K268" s="1">
        <v>26.42</v>
      </c>
      <c r="L268" s="1">
        <v>78.17</v>
      </c>
    </row>
    <row r="269" spans="1:12" ht="15.6" x14ac:dyDescent="0.3">
      <c r="A269" s="1" t="s">
        <v>305</v>
      </c>
      <c r="B269" s="1">
        <v>17</v>
      </c>
      <c r="C269" s="1" t="s">
        <v>29</v>
      </c>
      <c r="D269" s="1" t="s">
        <v>35</v>
      </c>
      <c r="E269" s="1" t="s">
        <v>31</v>
      </c>
      <c r="F269" s="1">
        <v>176</v>
      </c>
      <c r="G269" s="1">
        <v>433</v>
      </c>
      <c r="H269" s="1" t="s">
        <v>15</v>
      </c>
      <c r="I269" s="1" t="s">
        <v>23</v>
      </c>
      <c r="J269" s="1" t="s">
        <v>38</v>
      </c>
      <c r="K269" s="1">
        <v>46.4</v>
      </c>
      <c r="L269" s="1">
        <v>21.99</v>
      </c>
    </row>
    <row r="270" spans="1:12" ht="15.6" x14ac:dyDescent="0.3">
      <c r="A270" s="1" t="s">
        <v>306</v>
      </c>
      <c r="B270" s="1">
        <v>30</v>
      </c>
      <c r="C270" s="1" t="s">
        <v>29</v>
      </c>
      <c r="D270" s="1" t="s">
        <v>14</v>
      </c>
      <c r="E270" s="1" t="s">
        <v>2</v>
      </c>
      <c r="F270" s="1">
        <v>382</v>
      </c>
      <c r="G270" s="1">
        <v>129</v>
      </c>
      <c r="H270" s="1" t="s">
        <v>37</v>
      </c>
      <c r="I270" s="1" t="s">
        <v>23</v>
      </c>
      <c r="J270" s="1" t="s">
        <v>17</v>
      </c>
      <c r="K270" s="1">
        <v>22.73</v>
      </c>
      <c r="L270" s="1">
        <v>50.24</v>
      </c>
    </row>
    <row r="271" spans="1:12" ht="15.6" x14ac:dyDescent="0.3">
      <c r="A271" s="1" t="s">
        <v>307</v>
      </c>
      <c r="B271" s="1">
        <v>28</v>
      </c>
      <c r="C271" s="1" t="s">
        <v>34</v>
      </c>
      <c r="D271" s="1" t="s">
        <v>30</v>
      </c>
      <c r="E271" s="1" t="s">
        <v>45</v>
      </c>
      <c r="F271" s="1">
        <v>429</v>
      </c>
      <c r="G271" s="1">
        <v>293</v>
      </c>
      <c r="H271" s="1" t="s">
        <v>22</v>
      </c>
      <c r="I271" s="1" t="s">
        <v>16</v>
      </c>
      <c r="J271" s="1" t="s">
        <v>24</v>
      </c>
      <c r="K271" s="1">
        <v>86.1</v>
      </c>
      <c r="L271" s="1">
        <v>41.16</v>
      </c>
    </row>
    <row r="272" spans="1:12" ht="15.6" x14ac:dyDescent="0.3">
      <c r="A272" s="1" t="s">
        <v>308</v>
      </c>
      <c r="B272" s="1">
        <v>50</v>
      </c>
      <c r="C272" s="1" t="s">
        <v>34</v>
      </c>
      <c r="D272" s="1" t="s">
        <v>35</v>
      </c>
      <c r="E272" s="1" t="s">
        <v>45</v>
      </c>
      <c r="F272" s="1">
        <v>197</v>
      </c>
      <c r="G272" s="1">
        <v>244</v>
      </c>
      <c r="H272" s="1" t="s">
        <v>15</v>
      </c>
      <c r="I272" s="1" t="s">
        <v>16</v>
      </c>
      <c r="J272" s="1" t="s">
        <v>24</v>
      </c>
      <c r="K272" s="1">
        <v>18.27</v>
      </c>
      <c r="L272" s="1">
        <v>18.07</v>
      </c>
    </row>
    <row r="273" spans="1:12" ht="15.6" x14ac:dyDescent="0.3">
      <c r="A273" s="1" t="s">
        <v>309</v>
      </c>
      <c r="B273" s="1">
        <v>34</v>
      </c>
      <c r="C273" s="1" t="s">
        <v>34</v>
      </c>
      <c r="D273" s="1" t="s">
        <v>35</v>
      </c>
      <c r="E273" s="1" t="s">
        <v>45</v>
      </c>
      <c r="F273" s="1">
        <v>440</v>
      </c>
      <c r="G273" s="1">
        <v>115</v>
      </c>
      <c r="H273" s="1" t="s">
        <v>37</v>
      </c>
      <c r="I273" s="1" t="s">
        <v>16</v>
      </c>
      <c r="J273" s="1" t="s">
        <v>17</v>
      </c>
      <c r="K273" s="1">
        <v>36.44</v>
      </c>
      <c r="L273" s="1">
        <v>57.3</v>
      </c>
    </row>
    <row r="274" spans="1:12" ht="15.6" x14ac:dyDescent="0.3">
      <c r="A274" s="1" t="s">
        <v>310</v>
      </c>
      <c r="B274" s="1">
        <v>19</v>
      </c>
      <c r="C274" s="1" t="s">
        <v>19</v>
      </c>
      <c r="D274" s="1" t="s">
        <v>35</v>
      </c>
      <c r="E274" s="1" t="s">
        <v>40</v>
      </c>
      <c r="F274" s="1">
        <v>152</v>
      </c>
      <c r="G274" s="1">
        <v>456</v>
      </c>
      <c r="H274" s="1" t="s">
        <v>15</v>
      </c>
      <c r="I274" s="1" t="s">
        <v>16</v>
      </c>
      <c r="J274" s="1" t="s">
        <v>38</v>
      </c>
      <c r="K274" s="1">
        <v>69.66</v>
      </c>
      <c r="L274" s="1">
        <v>27.63</v>
      </c>
    </row>
    <row r="275" spans="1:12" ht="15.6" x14ac:dyDescent="0.3">
      <c r="A275" s="1" t="s">
        <v>311</v>
      </c>
      <c r="B275" s="1">
        <v>32</v>
      </c>
      <c r="C275" s="1" t="s">
        <v>29</v>
      </c>
      <c r="D275" s="1" t="s">
        <v>27</v>
      </c>
      <c r="E275" s="1" t="s">
        <v>40</v>
      </c>
      <c r="F275" s="1">
        <v>194</v>
      </c>
      <c r="G275" s="1">
        <v>401</v>
      </c>
      <c r="H275" s="1" t="s">
        <v>48</v>
      </c>
      <c r="I275" s="1" t="s">
        <v>23</v>
      </c>
      <c r="J275" s="1" t="s">
        <v>24</v>
      </c>
      <c r="K275" s="1">
        <v>61.62</v>
      </c>
      <c r="L275" s="1">
        <v>27.03</v>
      </c>
    </row>
    <row r="276" spans="1:12" ht="15.6" x14ac:dyDescent="0.3">
      <c r="A276" s="1" t="s">
        <v>312</v>
      </c>
      <c r="B276" s="1">
        <v>23</v>
      </c>
      <c r="C276" s="1" t="s">
        <v>13</v>
      </c>
      <c r="D276" s="1" t="s">
        <v>27</v>
      </c>
      <c r="E276" s="1" t="s">
        <v>40</v>
      </c>
      <c r="F276" s="1">
        <v>508</v>
      </c>
      <c r="G276" s="1">
        <v>39</v>
      </c>
      <c r="H276" s="1" t="s">
        <v>22</v>
      </c>
      <c r="I276" s="1" t="s">
        <v>23</v>
      </c>
      <c r="J276" s="1" t="s">
        <v>24</v>
      </c>
      <c r="K276" s="1">
        <v>10.28</v>
      </c>
      <c r="L276" s="1">
        <v>39.78</v>
      </c>
    </row>
    <row r="277" spans="1:12" ht="15.6" x14ac:dyDescent="0.3">
      <c r="A277" s="1" t="s">
        <v>313</v>
      </c>
      <c r="B277" s="1">
        <v>38</v>
      </c>
      <c r="C277" s="1" t="s">
        <v>13</v>
      </c>
      <c r="D277" s="1" t="s">
        <v>50</v>
      </c>
      <c r="E277" s="1" t="s">
        <v>21</v>
      </c>
      <c r="F277" s="1">
        <v>427</v>
      </c>
      <c r="G277" s="1">
        <v>395</v>
      </c>
      <c r="H277" s="1" t="s">
        <v>15</v>
      </c>
      <c r="I277" s="1" t="s">
        <v>23</v>
      </c>
      <c r="J277" s="1" t="s">
        <v>24</v>
      </c>
      <c r="K277" s="1">
        <v>45.35</v>
      </c>
      <c r="L277" s="1">
        <v>78.06</v>
      </c>
    </row>
    <row r="278" spans="1:12" ht="15.6" x14ac:dyDescent="0.3">
      <c r="A278" s="1" t="s">
        <v>314</v>
      </c>
      <c r="B278" s="1">
        <v>47</v>
      </c>
      <c r="C278" s="1" t="s">
        <v>34</v>
      </c>
      <c r="D278" s="1" t="s">
        <v>20</v>
      </c>
      <c r="E278" s="1" t="s">
        <v>45</v>
      </c>
      <c r="F278" s="1">
        <v>66</v>
      </c>
      <c r="G278" s="1">
        <v>460</v>
      </c>
      <c r="H278" s="1" t="s">
        <v>48</v>
      </c>
      <c r="I278" s="1" t="s">
        <v>23</v>
      </c>
      <c r="J278" s="1" t="s">
        <v>24</v>
      </c>
      <c r="K278" s="1">
        <v>67.77</v>
      </c>
      <c r="L278" s="1">
        <v>77</v>
      </c>
    </row>
    <row r="279" spans="1:12" ht="15.6" x14ac:dyDescent="0.3">
      <c r="A279" s="1" t="s">
        <v>315</v>
      </c>
      <c r="B279" s="1">
        <v>17</v>
      </c>
      <c r="C279" s="1" t="s">
        <v>19</v>
      </c>
      <c r="D279" s="1" t="s">
        <v>35</v>
      </c>
      <c r="E279" s="1" t="s">
        <v>31</v>
      </c>
      <c r="F279" s="1">
        <v>568</v>
      </c>
      <c r="G279" s="1">
        <v>162</v>
      </c>
      <c r="H279" s="1" t="s">
        <v>37</v>
      </c>
      <c r="I279" s="1" t="s">
        <v>23</v>
      </c>
      <c r="J279" s="1" t="s">
        <v>24</v>
      </c>
      <c r="K279" s="1">
        <v>38.53</v>
      </c>
      <c r="L279" s="1">
        <v>27.39</v>
      </c>
    </row>
    <row r="280" spans="1:12" ht="15.6" x14ac:dyDescent="0.3">
      <c r="A280" s="1" t="s">
        <v>316</v>
      </c>
      <c r="B280" s="1">
        <v>35</v>
      </c>
      <c r="C280" s="1" t="s">
        <v>13</v>
      </c>
      <c r="D280" s="1" t="s">
        <v>50</v>
      </c>
      <c r="E280" s="1" t="s">
        <v>31</v>
      </c>
      <c r="F280" s="1">
        <v>140</v>
      </c>
      <c r="G280" s="1">
        <v>196</v>
      </c>
      <c r="H280" s="1" t="s">
        <v>32</v>
      </c>
      <c r="I280" s="1" t="s">
        <v>16</v>
      </c>
      <c r="J280" s="1" t="s">
        <v>17</v>
      </c>
      <c r="K280" s="1">
        <v>18.41</v>
      </c>
      <c r="L280" s="1">
        <v>10.69</v>
      </c>
    </row>
    <row r="281" spans="1:12" ht="15.6" x14ac:dyDescent="0.3">
      <c r="A281" s="1" t="s">
        <v>317</v>
      </c>
      <c r="B281" s="1">
        <v>13</v>
      </c>
      <c r="C281" s="1" t="s">
        <v>29</v>
      </c>
      <c r="D281" s="1" t="s">
        <v>30</v>
      </c>
      <c r="E281" s="1" t="s">
        <v>2</v>
      </c>
      <c r="F281" s="1">
        <v>198</v>
      </c>
      <c r="G281" s="1">
        <v>115</v>
      </c>
      <c r="H281" s="1" t="s">
        <v>48</v>
      </c>
      <c r="I281" s="1" t="s">
        <v>16</v>
      </c>
      <c r="J281" s="1" t="s">
        <v>17</v>
      </c>
      <c r="K281" s="1">
        <v>16.920000000000002</v>
      </c>
      <c r="L281" s="1">
        <v>71.13</v>
      </c>
    </row>
    <row r="282" spans="1:12" ht="15.6" x14ac:dyDescent="0.3">
      <c r="A282" s="1" t="s">
        <v>318</v>
      </c>
      <c r="B282" s="1">
        <v>43</v>
      </c>
      <c r="C282" s="1" t="s">
        <v>13</v>
      </c>
      <c r="D282" s="1" t="s">
        <v>14</v>
      </c>
      <c r="E282" s="1" t="s">
        <v>45</v>
      </c>
      <c r="F282" s="1">
        <v>188</v>
      </c>
      <c r="G282" s="1">
        <v>318</v>
      </c>
      <c r="H282" s="1" t="s">
        <v>22</v>
      </c>
      <c r="I282" s="1" t="s">
        <v>23</v>
      </c>
      <c r="J282" s="1" t="s">
        <v>17</v>
      </c>
      <c r="K282" s="1">
        <v>76.66</v>
      </c>
      <c r="L282" s="1">
        <v>36.47</v>
      </c>
    </row>
    <row r="283" spans="1:12" ht="15.6" x14ac:dyDescent="0.3">
      <c r="A283" s="1" t="s">
        <v>319</v>
      </c>
      <c r="B283" s="1">
        <v>51</v>
      </c>
      <c r="C283" s="1" t="s">
        <v>29</v>
      </c>
      <c r="D283" s="1" t="s">
        <v>20</v>
      </c>
      <c r="E283" s="1" t="s">
        <v>31</v>
      </c>
      <c r="F283" s="1">
        <v>512</v>
      </c>
      <c r="G283" s="1">
        <v>37</v>
      </c>
      <c r="H283" s="1" t="s">
        <v>37</v>
      </c>
      <c r="I283" s="1" t="s">
        <v>23</v>
      </c>
      <c r="J283" s="1" t="s">
        <v>17</v>
      </c>
      <c r="K283" s="1">
        <v>74.510000000000005</v>
      </c>
      <c r="L283" s="1">
        <v>12.81</v>
      </c>
    </row>
    <row r="284" spans="1:12" ht="15.6" x14ac:dyDescent="0.3">
      <c r="A284" s="1" t="s">
        <v>320</v>
      </c>
      <c r="B284" s="1">
        <v>59</v>
      </c>
      <c r="C284" s="1" t="s">
        <v>13</v>
      </c>
      <c r="D284" s="1" t="s">
        <v>50</v>
      </c>
      <c r="E284" s="1" t="s">
        <v>45</v>
      </c>
      <c r="F284" s="1">
        <v>494</v>
      </c>
      <c r="G284" s="1">
        <v>351</v>
      </c>
      <c r="H284" s="1" t="s">
        <v>37</v>
      </c>
      <c r="I284" s="1" t="s">
        <v>23</v>
      </c>
      <c r="J284" s="1" t="s">
        <v>17</v>
      </c>
      <c r="K284" s="1">
        <v>56.24</v>
      </c>
      <c r="L284" s="1">
        <v>12.24</v>
      </c>
    </row>
    <row r="285" spans="1:12" ht="15.6" x14ac:dyDescent="0.3">
      <c r="A285" s="1" t="s">
        <v>321</v>
      </c>
      <c r="B285" s="1">
        <v>18</v>
      </c>
      <c r="C285" s="1" t="s">
        <v>29</v>
      </c>
      <c r="D285" s="1" t="s">
        <v>14</v>
      </c>
      <c r="E285" s="1" t="s">
        <v>31</v>
      </c>
      <c r="F285" s="1">
        <v>516</v>
      </c>
      <c r="G285" s="1">
        <v>36</v>
      </c>
      <c r="H285" s="1" t="s">
        <v>15</v>
      </c>
      <c r="I285" s="1" t="s">
        <v>23</v>
      </c>
      <c r="J285" s="1" t="s">
        <v>38</v>
      </c>
      <c r="K285" s="1">
        <v>57.91</v>
      </c>
      <c r="L285" s="1">
        <v>12.91</v>
      </c>
    </row>
    <row r="286" spans="1:12" ht="15.6" x14ac:dyDescent="0.3">
      <c r="A286" s="1" t="s">
        <v>322</v>
      </c>
      <c r="B286" s="1">
        <v>55</v>
      </c>
      <c r="C286" s="1" t="s">
        <v>19</v>
      </c>
      <c r="D286" s="1" t="s">
        <v>30</v>
      </c>
      <c r="E286" s="1" t="s">
        <v>2</v>
      </c>
      <c r="F286" s="1">
        <v>355</v>
      </c>
      <c r="G286" s="1">
        <v>182</v>
      </c>
      <c r="H286" s="1" t="s">
        <v>48</v>
      </c>
      <c r="I286" s="1" t="s">
        <v>23</v>
      </c>
      <c r="J286" s="1" t="s">
        <v>38</v>
      </c>
      <c r="K286" s="1">
        <v>64</v>
      </c>
      <c r="L286" s="1">
        <v>70.08</v>
      </c>
    </row>
    <row r="287" spans="1:12" ht="15.6" x14ac:dyDescent="0.3">
      <c r="A287" s="1" t="s">
        <v>323</v>
      </c>
      <c r="B287" s="1">
        <v>14</v>
      </c>
      <c r="C287" s="1" t="s">
        <v>13</v>
      </c>
      <c r="D287" s="1" t="s">
        <v>27</v>
      </c>
      <c r="E287" s="1" t="s">
        <v>2</v>
      </c>
      <c r="F287" s="1">
        <v>46</v>
      </c>
      <c r="G287" s="1">
        <v>379</v>
      </c>
      <c r="H287" s="1" t="s">
        <v>22</v>
      </c>
      <c r="I287" s="1" t="s">
        <v>23</v>
      </c>
      <c r="J287" s="1" t="s">
        <v>17</v>
      </c>
      <c r="K287" s="1">
        <v>49.57</v>
      </c>
      <c r="L287" s="1">
        <v>31.52</v>
      </c>
    </row>
    <row r="288" spans="1:12" ht="15.6" x14ac:dyDescent="0.3">
      <c r="A288" s="1" t="s">
        <v>324</v>
      </c>
      <c r="B288" s="1">
        <v>47</v>
      </c>
      <c r="C288" s="1" t="s">
        <v>29</v>
      </c>
      <c r="D288" s="1" t="s">
        <v>50</v>
      </c>
      <c r="E288" s="1" t="s">
        <v>21</v>
      </c>
      <c r="F288" s="1">
        <v>277</v>
      </c>
      <c r="G288" s="1">
        <v>184</v>
      </c>
      <c r="H288" s="1" t="s">
        <v>48</v>
      </c>
      <c r="I288" s="1" t="s">
        <v>23</v>
      </c>
      <c r="J288" s="1" t="s">
        <v>17</v>
      </c>
      <c r="K288" s="1">
        <v>23.25</v>
      </c>
      <c r="L288" s="1">
        <v>47.22</v>
      </c>
    </row>
    <row r="289" spans="1:12" ht="15.6" x14ac:dyDescent="0.3">
      <c r="A289" s="1" t="s">
        <v>325</v>
      </c>
      <c r="B289" s="1">
        <v>19</v>
      </c>
      <c r="C289" s="1" t="s">
        <v>19</v>
      </c>
      <c r="D289" s="1" t="s">
        <v>30</v>
      </c>
      <c r="E289" s="1" t="s">
        <v>21</v>
      </c>
      <c r="F289" s="1">
        <v>43</v>
      </c>
      <c r="G289" s="1">
        <v>367</v>
      </c>
      <c r="H289" s="1" t="s">
        <v>37</v>
      </c>
      <c r="I289" s="1" t="s">
        <v>16</v>
      </c>
      <c r="J289" s="1" t="s">
        <v>38</v>
      </c>
      <c r="K289" s="1">
        <v>87.53</v>
      </c>
      <c r="L289" s="1">
        <v>70.52</v>
      </c>
    </row>
    <row r="290" spans="1:12" ht="15.6" x14ac:dyDescent="0.3">
      <c r="A290" s="1" t="s">
        <v>326</v>
      </c>
      <c r="B290" s="1">
        <v>16</v>
      </c>
      <c r="C290" s="1" t="s">
        <v>29</v>
      </c>
      <c r="D290" s="1" t="s">
        <v>50</v>
      </c>
      <c r="E290" s="1" t="s">
        <v>21</v>
      </c>
      <c r="F290" s="1">
        <v>106</v>
      </c>
      <c r="G290" s="1">
        <v>448</v>
      </c>
      <c r="H290" s="1" t="s">
        <v>22</v>
      </c>
      <c r="I290" s="1" t="s">
        <v>23</v>
      </c>
      <c r="J290" s="1" t="s">
        <v>38</v>
      </c>
      <c r="K290" s="1">
        <v>76.430000000000007</v>
      </c>
      <c r="L290" s="1">
        <v>73.63</v>
      </c>
    </row>
    <row r="291" spans="1:12" ht="15.6" x14ac:dyDescent="0.3">
      <c r="A291" s="1" t="s">
        <v>327</v>
      </c>
      <c r="B291" s="1">
        <v>40</v>
      </c>
      <c r="C291" s="1" t="s">
        <v>34</v>
      </c>
      <c r="D291" s="1" t="s">
        <v>30</v>
      </c>
      <c r="E291" s="1" t="s">
        <v>21</v>
      </c>
      <c r="F291" s="1">
        <v>573</v>
      </c>
      <c r="G291" s="1">
        <v>220</v>
      </c>
      <c r="H291" s="1" t="s">
        <v>32</v>
      </c>
      <c r="I291" s="1" t="s">
        <v>23</v>
      </c>
      <c r="J291" s="1" t="s">
        <v>24</v>
      </c>
      <c r="K291" s="1">
        <v>30.82</v>
      </c>
      <c r="L291" s="1">
        <v>35.67</v>
      </c>
    </row>
    <row r="292" spans="1:12" ht="15.6" x14ac:dyDescent="0.3">
      <c r="A292" s="1" t="s">
        <v>328</v>
      </c>
      <c r="B292" s="1">
        <v>39</v>
      </c>
      <c r="C292" s="1" t="s">
        <v>29</v>
      </c>
      <c r="D292" s="1" t="s">
        <v>20</v>
      </c>
      <c r="E292" s="1" t="s">
        <v>21</v>
      </c>
      <c r="F292" s="1">
        <v>187</v>
      </c>
      <c r="G292" s="1">
        <v>81</v>
      </c>
      <c r="H292" s="1" t="s">
        <v>15</v>
      </c>
      <c r="I292" s="1" t="s">
        <v>16</v>
      </c>
      <c r="J292" s="1" t="s">
        <v>17</v>
      </c>
      <c r="K292" s="1">
        <v>36.46</v>
      </c>
      <c r="L292" s="1">
        <v>66.16</v>
      </c>
    </row>
    <row r="293" spans="1:12" ht="15.6" x14ac:dyDescent="0.3">
      <c r="A293" s="1" t="s">
        <v>329</v>
      </c>
      <c r="B293" s="1">
        <v>43</v>
      </c>
      <c r="C293" s="1" t="s">
        <v>13</v>
      </c>
      <c r="D293" s="1" t="s">
        <v>27</v>
      </c>
      <c r="E293" s="1" t="s">
        <v>36</v>
      </c>
      <c r="F293" s="1">
        <v>120</v>
      </c>
      <c r="G293" s="1">
        <v>64</v>
      </c>
      <c r="H293" s="1" t="s">
        <v>37</v>
      </c>
      <c r="I293" s="1" t="s">
        <v>23</v>
      </c>
      <c r="J293" s="1" t="s">
        <v>38</v>
      </c>
      <c r="K293" s="1">
        <v>53.51</v>
      </c>
      <c r="L293" s="1">
        <v>35.630000000000003</v>
      </c>
    </row>
    <row r="294" spans="1:12" ht="15.6" x14ac:dyDescent="0.3">
      <c r="A294" s="1" t="s">
        <v>330</v>
      </c>
      <c r="B294" s="1">
        <v>19</v>
      </c>
      <c r="C294" s="1" t="s">
        <v>26</v>
      </c>
      <c r="D294" s="1" t="s">
        <v>27</v>
      </c>
      <c r="E294" s="1" t="s">
        <v>21</v>
      </c>
      <c r="F294" s="1">
        <v>525</v>
      </c>
      <c r="G294" s="1">
        <v>47</v>
      </c>
      <c r="H294" s="1" t="s">
        <v>15</v>
      </c>
      <c r="I294" s="1" t="s">
        <v>23</v>
      </c>
      <c r="J294" s="1" t="s">
        <v>17</v>
      </c>
      <c r="K294" s="1">
        <v>86.43</v>
      </c>
      <c r="L294" s="1">
        <v>34.61</v>
      </c>
    </row>
    <row r="295" spans="1:12" ht="15.6" x14ac:dyDescent="0.3">
      <c r="A295" s="1" t="s">
        <v>331</v>
      </c>
      <c r="B295" s="1">
        <v>47</v>
      </c>
      <c r="C295" s="1" t="s">
        <v>13</v>
      </c>
      <c r="D295" s="1" t="s">
        <v>14</v>
      </c>
      <c r="E295" s="1" t="s">
        <v>31</v>
      </c>
      <c r="F295" s="1">
        <v>330</v>
      </c>
      <c r="G295" s="1">
        <v>38</v>
      </c>
      <c r="H295" s="1" t="s">
        <v>37</v>
      </c>
      <c r="I295" s="1" t="s">
        <v>23</v>
      </c>
      <c r="J295" s="1" t="s">
        <v>38</v>
      </c>
      <c r="K295" s="1">
        <v>44.02</v>
      </c>
      <c r="L295" s="1">
        <v>60.37</v>
      </c>
    </row>
    <row r="296" spans="1:12" ht="15.6" x14ac:dyDescent="0.3">
      <c r="A296" s="1" t="s">
        <v>332</v>
      </c>
      <c r="B296" s="1">
        <v>42</v>
      </c>
      <c r="C296" s="1" t="s">
        <v>34</v>
      </c>
      <c r="D296" s="1" t="s">
        <v>14</v>
      </c>
      <c r="E296" s="1" t="s">
        <v>21</v>
      </c>
      <c r="F296" s="1">
        <v>96</v>
      </c>
      <c r="G296" s="1">
        <v>369</v>
      </c>
      <c r="H296" s="1" t="s">
        <v>48</v>
      </c>
      <c r="I296" s="1" t="s">
        <v>23</v>
      </c>
      <c r="J296" s="1" t="s">
        <v>38</v>
      </c>
      <c r="K296" s="1">
        <v>60.61</v>
      </c>
      <c r="L296" s="1">
        <v>75.62</v>
      </c>
    </row>
    <row r="297" spans="1:12" ht="15.6" x14ac:dyDescent="0.3">
      <c r="A297" s="1" t="s">
        <v>333</v>
      </c>
      <c r="B297" s="1">
        <v>29</v>
      </c>
      <c r="C297" s="1" t="s">
        <v>34</v>
      </c>
      <c r="D297" s="1" t="s">
        <v>35</v>
      </c>
      <c r="E297" s="1" t="s">
        <v>31</v>
      </c>
      <c r="F297" s="1">
        <v>25</v>
      </c>
      <c r="G297" s="1">
        <v>465</v>
      </c>
      <c r="H297" s="1" t="s">
        <v>37</v>
      </c>
      <c r="I297" s="1" t="s">
        <v>23</v>
      </c>
      <c r="J297" s="1" t="s">
        <v>17</v>
      </c>
      <c r="K297" s="1">
        <v>64.13</v>
      </c>
      <c r="L297" s="1">
        <v>18.670000000000002</v>
      </c>
    </row>
    <row r="298" spans="1:12" ht="15.6" x14ac:dyDescent="0.3">
      <c r="A298" s="1" t="s">
        <v>334</v>
      </c>
      <c r="B298" s="1">
        <v>47</v>
      </c>
      <c r="C298" s="1" t="s">
        <v>34</v>
      </c>
      <c r="D298" s="1" t="s">
        <v>30</v>
      </c>
      <c r="E298" s="1" t="s">
        <v>36</v>
      </c>
      <c r="F298" s="1">
        <v>50</v>
      </c>
      <c r="G298" s="1">
        <v>290</v>
      </c>
      <c r="H298" s="1" t="s">
        <v>15</v>
      </c>
      <c r="I298" s="1" t="s">
        <v>23</v>
      </c>
      <c r="J298" s="1" t="s">
        <v>17</v>
      </c>
      <c r="K298" s="1">
        <v>11.99</v>
      </c>
      <c r="L298" s="1">
        <v>6.12</v>
      </c>
    </row>
    <row r="299" spans="1:12" ht="15.6" x14ac:dyDescent="0.3">
      <c r="A299" s="1" t="s">
        <v>335</v>
      </c>
      <c r="B299" s="1">
        <v>50</v>
      </c>
      <c r="C299" s="1" t="s">
        <v>29</v>
      </c>
      <c r="D299" s="1" t="s">
        <v>30</v>
      </c>
      <c r="E299" s="1" t="s">
        <v>45</v>
      </c>
      <c r="F299" s="1">
        <v>86</v>
      </c>
      <c r="G299" s="1">
        <v>225</v>
      </c>
      <c r="H299" s="1" t="s">
        <v>22</v>
      </c>
      <c r="I299" s="1" t="s">
        <v>16</v>
      </c>
      <c r="J299" s="1" t="s">
        <v>24</v>
      </c>
      <c r="K299" s="1">
        <v>37.729999999999997</v>
      </c>
      <c r="L299" s="1">
        <v>29.66</v>
      </c>
    </row>
    <row r="300" spans="1:12" ht="15.6" x14ac:dyDescent="0.3">
      <c r="A300" s="1" t="s">
        <v>336</v>
      </c>
      <c r="B300" s="1">
        <v>25</v>
      </c>
      <c r="C300" s="1" t="s">
        <v>34</v>
      </c>
      <c r="D300" s="1" t="s">
        <v>30</v>
      </c>
      <c r="E300" s="1" t="s">
        <v>2</v>
      </c>
      <c r="F300" s="1">
        <v>223</v>
      </c>
      <c r="G300" s="1">
        <v>108</v>
      </c>
      <c r="H300" s="1" t="s">
        <v>15</v>
      </c>
      <c r="I300" s="1" t="s">
        <v>16</v>
      </c>
      <c r="J300" s="1" t="s">
        <v>38</v>
      </c>
      <c r="K300" s="1">
        <v>78.63</v>
      </c>
      <c r="L300" s="1">
        <v>77.16</v>
      </c>
    </row>
    <row r="301" spans="1:12" ht="15.6" x14ac:dyDescent="0.3">
      <c r="A301" s="1" t="s">
        <v>337</v>
      </c>
      <c r="B301" s="1">
        <v>56</v>
      </c>
      <c r="C301" s="1" t="s">
        <v>19</v>
      </c>
      <c r="D301" s="1" t="s">
        <v>14</v>
      </c>
      <c r="E301" s="1" t="s">
        <v>2</v>
      </c>
      <c r="F301" s="1">
        <v>308</v>
      </c>
      <c r="G301" s="1">
        <v>148</v>
      </c>
      <c r="H301" s="1" t="s">
        <v>32</v>
      </c>
      <c r="I301" s="1" t="s">
        <v>16</v>
      </c>
      <c r="J301" s="1" t="s">
        <v>24</v>
      </c>
      <c r="K301" s="1">
        <v>56.8</v>
      </c>
      <c r="L301" s="1">
        <v>50.16</v>
      </c>
    </row>
    <row r="302" spans="1:12" ht="15.6" x14ac:dyDescent="0.3">
      <c r="A302" s="1" t="s">
        <v>338</v>
      </c>
      <c r="B302" s="1">
        <v>38</v>
      </c>
      <c r="C302" s="1" t="s">
        <v>34</v>
      </c>
      <c r="D302" s="1" t="s">
        <v>30</v>
      </c>
      <c r="E302" s="1" t="s">
        <v>40</v>
      </c>
      <c r="F302" s="1">
        <v>123</v>
      </c>
      <c r="G302" s="1">
        <v>462</v>
      </c>
      <c r="H302" s="1" t="s">
        <v>37</v>
      </c>
      <c r="I302" s="1" t="s">
        <v>16</v>
      </c>
      <c r="J302" s="1" t="s">
        <v>24</v>
      </c>
      <c r="K302" s="1">
        <v>24</v>
      </c>
      <c r="L302" s="1">
        <v>72.73</v>
      </c>
    </row>
    <row r="303" spans="1:12" ht="15.6" x14ac:dyDescent="0.3">
      <c r="A303" s="1" t="s">
        <v>339</v>
      </c>
      <c r="B303" s="1">
        <v>43</v>
      </c>
      <c r="C303" s="1" t="s">
        <v>19</v>
      </c>
      <c r="D303" s="1" t="s">
        <v>35</v>
      </c>
      <c r="E303" s="1" t="s">
        <v>31</v>
      </c>
      <c r="F303" s="1">
        <v>589</v>
      </c>
      <c r="G303" s="1">
        <v>381</v>
      </c>
      <c r="H303" s="1" t="s">
        <v>48</v>
      </c>
      <c r="I303" s="1" t="s">
        <v>16</v>
      </c>
      <c r="J303" s="1" t="s">
        <v>38</v>
      </c>
      <c r="K303" s="1">
        <v>38.549999999999997</v>
      </c>
      <c r="L303" s="1">
        <v>22.5</v>
      </c>
    </row>
    <row r="304" spans="1:12" ht="15.6" x14ac:dyDescent="0.3">
      <c r="A304" s="1" t="s">
        <v>340</v>
      </c>
      <c r="B304" s="1">
        <v>56</v>
      </c>
      <c r="C304" s="1" t="s">
        <v>26</v>
      </c>
      <c r="D304" s="1" t="s">
        <v>50</v>
      </c>
      <c r="E304" s="1" t="s">
        <v>36</v>
      </c>
      <c r="F304" s="1">
        <v>476</v>
      </c>
      <c r="G304" s="1">
        <v>326</v>
      </c>
      <c r="H304" s="1" t="s">
        <v>48</v>
      </c>
      <c r="I304" s="1" t="s">
        <v>23</v>
      </c>
      <c r="J304" s="1" t="s">
        <v>17</v>
      </c>
      <c r="K304" s="1">
        <v>41.72</v>
      </c>
      <c r="L304" s="1">
        <v>16.63</v>
      </c>
    </row>
    <row r="305" spans="1:12" ht="15.6" x14ac:dyDescent="0.3">
      <c r="A305" s="1" t="s">
        <v>341</v>
      </c>
      <c r="B305" s="1">
        <v>20</v>
      </c>
      <c r="C305" s="1" t="s">
        <v>34</v>
      </c>
      <c r="D305" s="1" t="s">
        <v>35</v>
      </c>
      <c r="E305" s="1" t="s">
        <v>21</v>
      </c>
      <c r="F305" s="1">
        <v>22</v>
      </c>
      <c r="G305" s="1">
        <v>204</v>
      </c>
      <c r="H305" s="1" t="s">
        <v>37</v>
      </c>
      <c r="I305" s="1" t="s">
        <v>16</v>
      </c>
      <c r="J305" s="1" t="s">
        <v>38</v>
      </c>
      <c r="K305" s="1">
        <v>59.66</v>
      </c>
      <c r="L305" s="1">
        <v>78.930000000000007</v>
      </c>
    </row>
    <row r="306" spans="1:12" ht="15.6" x14ac:dyDescent="0.3">
      <c r="A306" s="1" t="s">
        <v>342</v>
      </c>
      <c r="B306" s="1">
        <v>34</v>
      </c>
      <c r="C306" s="1" t="s">
        <v>19</v>
      </c>
      <c r="D306" s="1" t="s">
        <v>14</v>
      </c>
      <c r="E306" s="1" t="s">
        <v>31</v>
      </c>
      <c r="F306" s="1">
        <v>319</v>
      </c>
      <c r="G306" s="1">
        <v>179</v>
      </c>
      <c r="H306" s="1" t="s">
        <v>48</v>
      </c>
      <c r="I306" s="1" t="s">
        <v>16</v>
      </c>
      <c r="J306" s="1" t="s">
        <v>38</v>
      </c>
      <c r="K306" s="1">
        <v>59.88</v>
      </c>
      <c r="L306" s="1">
        <v>69.17</v>
      </c>
    </row>
    <row r="307" spans="1:12" ht="15.6" x14ac:dyDescent="0.3">
      <c r="A307" s="1" t="s">
        <v>343</v>
      </c>
      <c r="B307" s="1">
        <v>48</v>
      </c>
      <c r="C307" s="1" t="s">
        <v>29</v>
      </c>
      <c r="D307" s="1" t="s">
        <v>27</v>
      </c>
      <c r="E307" s="1" t="s">
        <v>2</v>
      </c>
      <c r="F307" s="1">
        <v>75</v>
      </c>
      <c r="G307" s="1">
        <v>498</v>
      </c>
      <c r="H307" s="1" t="s">
        <v>22</v>
      </c>
      <c r="I307" s="1" t="s">
        <v>16</v>
      </c>
      <c r="J307" s="1" t="s">
        <v>17</v>
      </c>
      <c r="K307" s="1">
        <v>54.44</v>
      </c>
      <c r="L307" s="1">
        <v>49.35</v>
      </c>
    </row>
    <row r="308" spans="1:12" ht="15.6" x14ac:dyDescent="0.3">
      <c r="A308" s="1" t="s">
        <v>344</v>
      </c>
      <c r="B308" s="1">
        <v>51</v>
      </c>
      <c r="C308" s="1" t="s">
        <v>13</v>
      </c>
      <c r="D308" s="1" t="s">
        <v>50</v>
      </c>
      <c r="E308" s="1" t="s">
        <v>36</v>
      </c>
      <c r="F308" s="1">
        <v>434</v>
      </c>
      <c r="G308" s="1">
        <v>375</v>
      </c>
      <c r="H308" s="1" t="s">
        <v>37</v>
      </c>
      <c r="I308" s="1" t="s">
        <v>16</v>
      </c>
      <c r="J308" s="1" t="s">
        <v>38</v>
      </c>
      <c r="K308" s="1">
        <v>84.36</v>
      </c>
      <c r="L308" s="1">
        <v>20.41</v>
      </c>
    </row>
    <row r="309" spans="1:12" ht="15.6" x14ac:dyDescent="0.3">
      <c r="A309" s="1" t="s">
        <v>345</v>
      </c>
      <c r="B309" s="1">
        <v>26</v>
      </c>
      <c r="C309" s="1" t="s">
        <v>29</v>
      </c>
      <c r="D309" s="1" t="s">
        <v>20</v>
      </c>
      <c r="E309" s="1" t="s">
        <v>40</v>
      </c>
      <c r="F309" s="1">
        <v>342</v>
      </c>
      <c r="G309" s="1">
        <v>347</v>
      </c>
      <c r="H309" s="1" t="s">
        <v>32</v>
      </c>
      <c r="I309" s="1" t="s">
        <v>16</v>
      </c>
      <c r="J309" s="1" t="s">
        <v>17</v>
      </c>
      <c r="K309" s="1">
        <v>71.650000000000006</v>
      </c>
      <c r="L309" s="1">
        <v>23.08</v>
      </c>
    </row>
    <row r="310" spans="1:12" ht="15.6" x14ac:dyDescent="0.3">
      <c r="A310" s="1" t="s">
        <v>346</v>
      </c>
      <c r="B310" s="1">
        <v>56</v>
      </c>
      <c r="C310" s="1" t="s">
        <v>29</v>
      </c>
      <c r="D310" s="1" t="s">
        <v>20</v>
      </c>
      <c r="E310" s="1" t="s">
        <v>31</v>
      </c>
      <c r="F310" s="1">
        <v>539</v>
      </c>
      <c r="G310" s="1">
        <v>474</v>
      </c>
      <c r="H310" s="1" t="s">
        <v>32</v>
      </c>
      <c r="I310" s="1" t="s">
        <v>16</v>
      </c>
      <c r="J310" s="1" t="s">
        <v>24</v>
      </c>
      <c r="K310" s="1">
        <v>80.290000000000006</v>
      </c>
      <c r="L310" s="1">
        <v>8.02</v>
      </c>
    </row>
    <row r="311" spans="1:12" ht="15.6" x14ac:dyDescent="0.3">
      <c r="A311" s="1" t="s">
        <v>347</v>
      </c>
      <c r="B311" s="1">
        <v>39</v>
      </c>
      <c r="C311" s="1" t="s">
        <v>13</v>
      </c>
      <c r="D311" s="1" t="s">
        <v>30</v>
      </c>
      <c r="E311" s="1" t="s">
        <v>40</v>
      </c>
      <c r="F311" s="1">
        <v>548</v>
      </c>
      <c r="G311" s="1">
        <v>363</v>
      </c>
      <c r="H311" s="1" t="s">
        <v>48</v>
      </c>
      <c r="I311" s="1" t="s">
        <v>16</v>
      </c>
      <c r="J311" s="1" t="s">
        <v>24</v>
      </c>
      <c r="K311" s="1">
        <v>47.21</v>
      </c>
      <c r="L311" s="1">
        <v>67.42</v>
      </c>
    </row>
    <row r="312" spans="1:12" ht="15.6" x14ac:dyDescent="0.3">
      <c r="A312" s="1" t="s">
        <v>348</v>
      </c>
      <c r="B312" s="1">
        <v>54</v>
      </c>
      <c r="C312" s="1" t="s">
        <v>29</v>
      </c>
      <c r="D312" s="1" t="s">
        <v>35</v>
      </c>
      <c r="E312" s="1" t="s">
        <v>40</v>
      </c>
      <c r="F312" s="1">
        <v>367</v>
      </c>
      <c r="G312" s="1">
        <v>29</v>
      </c>
      <c r="H312" s="1" t="s">
        <v>32</v>
      </c>
      <c r="I312" s="1" t="s">
        <v>16</v>
      </c>
      <c r="J312" s="1" t="s">
        <v>38</v>
      </c>
      <c r="K312" s="1">
        <v>14.74</v>
      </c>
      <c r="L312" s="1">
        <v>73.599999999999994</v>
      </c>
    </row>
    <row r="313" spans="1:12" ht="15.6" x14ac:dyDescent="0.3">
      <c r="A313" s="1" t="s">
        <v>349</v>
      </c>
      <c r="B313" s="1">
        <v>36</v>
      </c>
      <c r="C313" s="1" t="s">
        <v>34</v>
      </c>
      <c r="D313" s="1" t="s">
        <v>14</v>
      </c>
      <c r="E313" s="1" t="s">
        <v>40</v>
      </c>
      <c r="F313" s="1">
        <v>483</v>
      </c>
      <c r="G313" s="1">
        <v>349</v>
      </c>
      <c r="H313" s="1" t="s">
        <v>22</v>
      </c>
      <c r="I313" s="1" t="s">
        <v>23</v>
      </c>
      <c r="J313" s="1" t="s">
        <v>38</v>
      </c>
      <c r="K313" s="1">
        <v>71.900000000000006</v>
      </c>
      <c r="L313" s="1">
        <v>77.63</v>
      </c>
    </row>
    <row r="314" spans="1:12" ht="15.6" x14ac:dyDescent="0.3">
      <c r="A314" s="1" t="s">
        <v>350</v>
      </c>
      <c r="B314" s="1">
        <v>33</v>
      </c>
      <c r="C314" s="1" t="s">
        <v>26</v>
      </c>
      <c r="D314" s="1" t="s">
        <v>14</v>
      </c>
      <c r="E314" s="1" t="s">
        <v>21</v>
      </c>
      <c r="F314" s="1">
        <v>519</v>
      </c>
      <c r="G314" s="1">
        <v>17</v>
      </c>
      <c r="H314" s="1" t="s">
        <v>32</v>
      </c>
      <c r="I314" s="1" t="s">
        <v>16</v>
      </c>
      <c r="J314" s="1" t="s">
        <v>17</v>
      </c>
      <c r="K314" s="1">
        <v>58.42</v>
      </c>
      <c r="L314" s="1">
        <v>62.24</v>
      </c>
    </row>
    <row r="315" spans="1:12" ht="15.6" x14ac:dyDescent="0.3">
      <c r="A315" s="1" t="s">
        <v>351</v>
      </c>
      <c r="B315" s="1">
        <v>30</v>
      </c>
      <c r="C315" s="1" t="s">
        <v>26</v>
      </c>
      <c r="D315" s="1" t="s">
        <v>35</v>
      </c>
      <c r="E315" s="1" t="s">
        <v>36</v>
      </c>
      <c r="F315" s="1">
        <v>181</v>
      </c>
      <c r="G315" s="1">
        <v>348</v>
      </c>
      <c r="H315" s="1" t="s">
        <v>32</v>
      </c>
      <c r="I315" s="1" t="s">
        <v>16</v>
      </c>
      <c r="J315" s="1" t="s">
        <v>38</v>
      </c>
      <c r="K315" s="1">
        <v>36.229999999999997</v>
      </c>
      <c r="L315" s="1">
        <v>56.33</v>
      </c>
    </row>
    <row r="316" spans="1:12" ht="15.6" x14ac:dyDescent="0.3">
      <c r="A316" s="1" t="s">
        <v>352</v>
      </c>
      <c r="B316" s="1">
        <v>26</v>
      </c>
      <c r="C316" s="1" t="s">
        <v>29</v>
      </c>
      <c r="D316" s="1" t="s">
        <v>14</v>
      </c>
      <c r="E316" s="1" t="s">
        <v>36</v>
      </c>
      <c r="F316" s="1">
        <v>313</v>
      </c>
      <c r="G316" s="1">
        <v>242</v>
      </c>
      <c r="H316" s="1" t="s">
        <v>15</v>
      </c>
      <c r="I316" s="1" t="s">
        <v>23</v>
      </c>
      <c r="J316" s="1" t="s">
        <v>17</v>
      </c>
      <c r="K316" s="1">
        <v>23.01</v>
      </c>
      <c r="L316" s="1">
        <v>33.14</v>
      </c>
    </row>
    <row r="317" spans="1:12" ht="15.6" x14ac:dyDescent="0.3">
      <c r="A317" s="1" t="s">
        <v>353</v>
      </c>
      <c r="B317" s="1">
        <v>32</v>
      </c>
      <c r="C317" s="1" t="s">
        <v>29</v>
      </c>
      <c r="D317" s="1" t="s">
        <v>30</v>
      </c>
      <c r="E317" s="1" t="s">
        <v>40</v>
      </c>
      <c r="F317" s="1">
        <v>129</v>
      </c>
      <c r="G317" s="1">
        <v>455</v>
      </c>
      <c r="H317" s="1" t="s">
        <v>32</v>
      </c>
      <c r="I317" s="1" t="s">
        <v>16</v>
      </c>
      <c r="J317" s="1" t="s">
        <v>38</v>
      </c>
      <c r="K317" s="1">
        <v>59.96</v>
      </c>
      <c r="L317" s="1">
        <v>53.36</v>
      </c>
    </row>
    <row r="318" spans="1:12" ht="15.6" x14ac:dyDescent="0.3">
      <c r="A318" s="1" t="s">
        <v>354</v>
      </c>
      <c r="B318" s="1">
        <v>51</v>
      </c>
      <c r="C318" s="1" t="s">
        <v>26</v>
      </c>
      <c r="D318" s="1" t="s">
        <v>14</v>
      </c>
      <c r="E318" s="1" t="s">
        <v>36</v>
      </c>
      <c r="F318" s="1">
        <v>172</v>
      </c>
      <c r="G318" s="1">
        <v>418</v>
      </c>
      <c r="H318" s="1" t="s">
        <v>32</v>
      </c>
      <c r="I318" s="1" t="s">
        <v>16</v>
      </c>
      <c r="J318" s="1" t="s">
        <v>24</v>
      </c>
      <c r="K318" s="1">
        <v>63.86</v>
      </c>
      <c r="L318" s="1">
        <v>56.47</v>
      </c>
    </row>
    <row r="319" spans="1:12" ht="15.6" x14ac:dyDescent="0.3">
      <c r="A319" s="1" t="s">
        <v>355</v>
      </c>
      <c r="B319" s="1">
        <v>19</v>
      </c>
      <c r="C319" s="1" t="s">
        <v>13</v>
      </c>
      <c r="D319" s="1" t="s">
        <v>35</v>
      </c>
      <c r="E319" s="1" t="s">
        <v>31</v>
      </c>
      <c r="F319" s="1">
        <v>276</v>
      </c>
      <c r="G319" s="1">
        <v>463</v>
      </c>
      <c r="H319" s="1" t="s">
        <v>37</v>
      </c>
      <c r="I319" s="1" t="s">
        <v>16</v>
      </c>
      <c r="J319" s="1" t="s">
        <v>38</v>
      </c>
      <c r="K319" s="1">
        <v>89.47</v>
      </c>
      <c r="L319" s="1">
        <v>25.73</v>
      </c>
    </row>
    <row r="320" spans="1:12" ht="15.6" x14ac:dyDescent="0.3">
      <c r="A320" s="1" t="s">
        <v>356</v>
      </c>
      <c r="B320" s="1">
        <v>46</v>
      </c>
      <c r="C320" s="1" t="s">
        <v>29</v>
      </c>
      <c r="D320" s="1" t="s">
        <v>14</v>
      </c>
      <c r="E320" s="1" t="s">
        <v>40</v>
      </c>
      <c r="F320" s="1">
        <v>367</v>
      </c>
      <c r="G320" s="1">
        <v>53</v>
      </c>
      <c r="H320" s="1" t="s">
        <v>32</v>
      </c>
      <c r="I320" s="1" t="s">
        <v>16</v>
      </c>
      <c r="J320" s="1" t="s">
        <v>24</v>
      </c>
      <c r="K320" s="1">
        <v>17.18</v>
      </c>
      <c r="L320" s="1">
        <v>24.76</v>
      </c>
    </row>
    <row r="321" spans="1:12" ht="15.6" x14ac:dyDescent="0.3">
      <c r="A321" s="1" t="s">
        <v>357</v>
      </c>
      <c r="B321" s="1">
        <v>42</v>
      </c>
      <c r="C321" s="1" t="s">
        <v>26</v>
      </c>
      <c r="D321" s="1" t="s">
        <v>14</v>
      </c>
      <c r="E321" s="1" t="s">
        <v>2</v>
      </c>
      <c r="F321" s="1">
        <v>160</v>
      </c>
      <c r="G321" s="1">
        <v>419</v>
      </c>
      <c r="H321" s="1" t="s">
        <v>22</v>
      </c>
      <c r="I321" s="1" t="s">
        <v>23</v>
      </c>
      <c r="J321" s="1" t="s">
        <v>38</v>
      </c>
      <c r="K321" s="1">
        <v>87</v>
      </c>
      <c r="L321" s="1">
        <v>72.09</v>
      </c>
    </row>
    <row r="322" spans="1:12" ht="15.6" x14ac:dyDescent="0.3">
      <c r="A322" s="1" t="s">
        <v>358</v>
      </c>
      <c r="B322" s="1">
        <v>46</v>
      </c>
      <c r="C322" s="1" t="s">
        <v>26</v>
      </c>
      <c r="D322" s="1" t="s">
        <v>20</v>
      </c>
      <c r="E322" s="1" t="s">
        <v>40</v>
      </c>
      <c r="F322" s="1">
        <v>199</v>
      </c>
      <c r="G322" s="1">
        <v>429</v>
      </c>
      <c r="H322" s="1" t="s">
        <v>22</v>
      </c>
      <c r="I322" s="1" t="s">
        <v>23</v>
      </c>
      <c r="J322" s="1" t="s">
        <v>24</v>
      </c>
      <c r="K322" s="1">
        <v>41.41</v>
      </c>
      <c r="L322" s="1">
        <v>9.1199999999999992</v>
      </c>
    </row>
    <row r="323" spans="1:12" ht="15.6" x14ac:dyDescent="0.3">
      <c r="A323" s="1" t="s">
        <v>359</v>
      </c>
      <c r="B323" s="1">
        <v>23</v>
      </c>
      <c r="C323" s="1" t="s">
        <v>29</v>
      </c>
      <c r="D323" s="1" t="s">
        <v>20</v>
      </c>
      <c r="E323" s="1" t="s">
        <v>40</v>
      </c>
      <c r="F323" s="1">
        <v>131</v>
      </c>
      <c r="G323" s="1">
        <v>370</v>
      </c>
      <c r="H323" s="1" t="s">
        <v>48</v>
      </c>
      <c r="I323" s="1" t="s">
        <v>16</v>
      </c>
      <c r="J323" s="1" t="s">
        <v>24</v>
      </c>
      <c r="K323" s="1">
        <v>31.41</v>
      </c>
      <c r="L323" s="1">
        <v>79.989999999999995</v>
      </c>
    </row>
    <row r="324" spans="1:12" ht="15.6" x14ac:dyDescent="0.3">
      <c r="A324" s="1" t="s">
        <v>360</v>
      </c>
      <c r="B324" s="1">
        <v>39</v>
      </c>
      <c r="C324" s="1" t="s">
        <v>29</v>
      </c>
      <c r="D324" s="1" t="s">
        <v>20</v>
      </c>
      <c r="E324" s="1" t="s">
        <v>40</v>
      </c>
      <c r="F324" s="1">
        <v>584</v>
      </c>
      <c r="G324" s="1">
        <v>212</v>
      </c>
      <c r="H324" s="1" t="s">
        <v>37</v>
      </c>
      <c r="I324" s="1" t="s">
        <v>16</v>
      </c>
      <c r="J324" s="1" t="s">
        <v>38</v>
      </c>
      <c r="K324" s="1">
        <v>87.51</v>
      </c>
      <c r="L324" s="1">
        <v>75.16</v>
      </c>
    </row>
    <row r="325" spans="1:12" ht="15.6" x14ac:dyDescent="0.3">
      <c r="A325" s="1" t="s">
        <v>361</v>
      </c>
      <c r="B325" s="1">
        <v>46</v>
      </c>
      <c r="C325" s="1" t="s">
        <v>29</v>
      </c>
      <c r="D325" s="1" t="s">
        <v>50</v>
      </c>
      <c r="E325" s="1" t="s">
        <v>36</v>
      </c>
      <c r="F325" s="1">
        <v>600</v>
      </c>
      <c r="G325" s="1">
        <v>29</v>
      </c>
      <c r="H325" s="1" t="s">
        <v>22</v>
      </c>
      <c r="I325" s="1" t="s">
        <v>23</v>
      </c>
      <c r="J325" s="1" t="s">
        <v>24</v>
      </c>
      <c r="K325" s="1">
        <v>48.35</v>
      </c>
      <c r="L325" s="1">
        <v>60.57</v>
      </c>
    </row>
    <row r="326" spans="1:12" ht="15.6" x14ac:dyDescent="0.3">
      <c r="A326" s="1" t="s">
        <v>362</v>
      </c>
      <c r="B326" s="1">
        <v>40</v>
      </c>
      <c r="C326" s="1" t="s">
        <v>26</v>
      </c>
      <c r="D326" s="1" t="s">
        <v>27</v>
      </c>
      <c r="E326" s="1" t="s">
        <v>40</v>
      </c>
      <c r="F326" s="1">
        <v>400</v>
      </c>
      <c r="G326" s="1">
        <v>223</v>
      </c>
      <c r="H326" s="1" t="s">
        <v>37</v>
      </c>
      <c r="I326" s="1" t="s">
        <v>23</v>
      </c>
      <c r="J326" s="1" t="s">
        <v>38</v>
      </c>
      <c r="K326" s="1">
        <v>65.989999999999995</v>
      </c>
      <c r="L326" s="1">
        <v>29.93</v>
      </c>
    </row>
    <row r="327" spans="1:12" ht="15.6" x14ac:dyDescent="0.3">
      <c r="A327" s="1" t="s">
        <v>363</v>
      </c>
      <c r="B327" s="1">
        <v>57</v>
      </c>
      <c r="C327" s="1" t="s">
        <v>19</v>
      </c>
      <c r="D327" s="1" t="s">
        <v>50</v>
      </c>
      <c r="E327" s="1" t="s">
        <v>36</v>
      </c>
      <c r="F327" s="1">
        <v>579</v>
      </c>
      <c r="G327" s="1">
        <v>413</v>
      </c>
      <c r="H327" s="1" t="s">
        <v>37</v>
      </c>
      <c r="I327" s="1" t="s">
        <v>16</v>
      </c>
      <c r="J327" s="1" t="s">
        <v>17</v>
      </c>
      <c r="K327" s="1">
        <v>26.65</v>
      </c>
      <c r="L327" s="1">
        <v>56.91</v>
      </c>
    </row>
    <row r="328" spans="1:12" ht="15.6" x14ac:dyDescent="0.3">
      <c r="A328" s="1" t="s">
        <v>364</v>
      </c>
      <c r="B328" s="1">
        <v>22</v>
      </c>
      <c r="C328" s="1" t="s">
        <v>34</v>
      </c>
      <c r="D328" s="1" t="s">
        <v>35</v>
      </c>
      <c r="E328" s="1" t="s">
        <v>45</v>
      </c>
      <c r="F328" s="1">
        <v>106</v>
      </c>
      <c r="G328" s="1">
        <v>198</v>
      </c>
      <c r="H328" s="1" t="s">
        <v>22</v>
      </c>
      <c r="I328" s="1" t="s">
        <v>23</v>
      </c>
      <c r="J328" s="1" t="s">
        <v>38</v>
      </c>
      <c r="K328" s="1">
        <v>12.3</v>
      </c>
      <c r="L328" s="1">
        <v>60.13</v>
      </c>
    </row>
    <row r="329" spans="1:12" ht="15.6" x14ac:dyDescent="0.3">
      <c r="A329" s="1" t="s">
        <v>365</v>
      </c>
      <c r="B329" s="1">
        <v>31</v>
      </c>
      <c r="C329" s="1" t="s">
        <v>19</v>
      </c>
      <c r="D329" s="1" t="s">
        <v>35</v>
      </c>
      <c r="E329" s="1" t="s">
        <v>2</v>
      </c>
      <c r="F329" s="1">
        <v>89</v>
      </c>
      <c r="G329" s="1">
        <v>380</v>
      </c>
      <c r="H329" s="1" t="s">
        <v>37</v>
      </c>
      <c r="I329" s="1" t="s">
        <v>23</v>
      </c>
      <c r="J329" s="1" t="s">
        <v>17</v>
      </c>
      <c r="K329" s="1">
        <v>59.4</v>
      </c>
      <c r="L329" s="1">
        <v>15.72</v>
      </c>
    </row>
    <row r="330" spans="1:12" ht="15.6" x14ac:dyDescent="0.3">
      <c r="A330" s="1" t="s">
        <v>366</v>
      </c>
      <c r="B330" s="1">
        <v>60</v>
      </c>
      <c r="C330" s="1" t="s">
        <v>13</v>
      </c>
      <c r="D330" s="1" t="s">
        <v>27</v>
      </c>
      <c r="E330" s="1" t="s">
        <v>45</v>
      </c>
      <c r="F330" s="1">
        <v>493</v>
      </c>
      <c r="G330" s="1">
        <v>413</v>
      </c>
      <c r="H330" s="1" t="s">
        <v>37</v>
      </c>
      <c r="I330" s="1" t="s">
        <v>16</v>
      </c>
      <c r="J330" s="1" t="s">
        <v>24</v>
      </c>
      <c r="K330" s="1">
        <v>28.54</v>
      </c>
      <c r="L330" s="1">
        <v>49.42</v>
      </c>
    </row>
    <row r="331" spans="1:12" ht="15.6" x14ac:dyDescent="0.3">
      <c r="A331" s="1" t="s">
        <v>367</v>
      </c>
      <c r="B331" s="1">
        <v>19</v>
      </c>
      <c r="C331" s="1" t="s">
        <v>19</v>
      </c>
      <c r="D331" s="1" t="s">
        <v>50</v>
      </c>
      <c r="E331" s="1" t="s">
        <v>21</v>
      </c>
      <c r="F331" s="1">
        <v>262</v>
      </c>
      <c r="G331" s="1">
        <v>126</v>
      </c>
      <c r="H331" s="1" t="s">
        <v>37</v>
      </c>
      <c r="I331" s="1" t="s">
        <v>23</v>
      </c>
      <c r="J331" s="1" t="s">
        <v>24</v>
      </c>
      <c r="K331" s="1">
        <v>39.94</v>
      </c>
      <c r="L331" s="1">
        <v>27.62</v>
      </c>
    </row>
    <row r="332" spans="1:12" ht="15.6" x14ac:dyDescent="0.3">
      <c r="A332" s="1" t="s">
        <v>368</v>
      </c>
      <c r="B332" s="1">
        <v>30</v>
      </c>
      <c r="C332" s="1" t="s">
        <v>19</v>
      </c>
      <c r="D332" s="1" t="s">
        <v>30</v>
      </c>
      <c r="E332" s="1" t="s">
        <v>40</v>
      </c>
      <c r="F332" s="1">
        <v>510</v>
      </c>
      <c r="G332" s="1">
        <v>167</v>
      </c>
      <c r="H332" s="1" t="s">
        <v>15</v>
      </c>
      <c r="I332" s="1" t="s">
        <v>16</v>
      </c>
      <c r="J332" s="1" t="s">
        <v>17</v>
      </c>
      <c r="K332" s="1">
        <v>69.010000000000005</v>
      </c>
      <c r="L332" s="1">
        <v>75.87</v>
      </c>
    </row>
    <row r="333" spans="1:12" ht="15.6" x14ac:dyDescent="0.3">
      <c r="A333" s="1" t="s">
        <v>369</v>
      </c>
      <c r="B333" s="1">
        <v>20</v>
      </c>
      <c r="C333" s="1" t="s">
        <v>29</v>
      </c>
      <c r="D333" s="1" t="s">
        <v>50</v>
      </c>
      <c r="E333" s="1" t="s">
        <v>45</v>
      </c>
      <c r="F333" s="1">
        <v>214</v>
      </c>
      <c r="G333" s="1">
        <v>194</v>
      </c>
      <c r="H333" s="1" t="s">
        <v>15</v>
      </c>
      <c r="I333" s="1" t="s">
        <v>23</v>
      </c>
      <c r="J333" s="1" t="s">
        <v>24</v>
      </c>
      <c r="K333" s="1">
        <v>78.510000000000005</v>
      </c>
      <c r="L333" s="1">
        <v>49.71</v>
      </c>
    </row>
    <row r="334" spans="1:12" ht="15.6" x14ac:dyDescent="0.3">
      <c r="A334" s="1" t="s">
        <v>370</v>
      </c>
      <c r="B334" s="1">
        <v>47</v>
      </c>
      <c r="C334" s="1" t="s">
        <v>34</v>
      </c>
      <c r="D334" s="1" t="s">
        <v>27</v>
      </c>
      <c r="E334" s="1" t="s">
        <v>36</v>
      </c>
      <c r="F334" s="1">
        <v>442</v>
      </c>
      <c r="G334" s="1">
        <v>263</v>
      </c>
      <c r="H334" s="1" t="s">
        <v>48</v>
      </c>
      <c r="I334" s="1" t="s">
        <v>23</v>
      </c>
      <c r="J334" s="1" t="s">
        <v>38</v>
      </c>
      <c r="K334" s="1">
        <v>89.74</v>
      </c>
      <c r="L334" s="1">
        <v>44.77</v>
      </c>
    </row>
    <row r="335" spans="1:12" ht="15.6" x14ac:dyDescent="0.3">
      <c r="A335" s="1" t="s">
        <v>371</v>
      </c>
      <c r="B335" s="1">
        <v>23</v>
      </c>
      <c r="C335" s="1" t="s">
        <v>29</v>
      </c>
      <c r="D335" s="1" t="s">
        <v>27</v>
      </c>
      <c r="E335" s="1" t="s">
        <v>2</v>
      </c>
      <c r="F335" s="1">
        <v>468</v>
      </c>
      <c r="G335" s="1">
        <v>274</v>
      </c>
      <c r="H335" s="1" t="s">
        <v>37</v>
      </c>
      <c r="I335" s="1" t="s">
        <v>16</v>
      </c>
      <c r="J335" s="1" t="s">
        <v>24</v>
      </c>
      <c r="K335" s="1">
        <v>25.19</v>
      </c>
      <c r="L335" s="1">
        <v>69.14</v>
      </c>
    </row>
    <row r="336" spans="1:12" ht="15.6" x14ac:dyDescent="0.3">
      <c r="A336" s="1" t="s">
        <v>372</v>
      </c>
      <c r="B336" s="1">
        <v>22</v>
      </c>
      <c r="C336" s="1" t="s">
        <v>34</v>
      </c>
      <c r="D336" s="1" t="s">
        <v>50</v>
      </c>
      <c r="E336" s="1" t="s">
        <v>2</v>
      </c>
      <c r="F336" s="1">
        <v>21</v>
      </c>
      <c r="G336" s="1">
        <v>190</v>
      </c>
      <c r="H336" s="1" t="s">
        <v>15</v>
      </c>
      <c r="I336" s="1" t="s">
        <v>16</v>
      </c>
      <c r="J336" s="1" t="s">
        <v>38</v>
      </c>
      <c r="K336" s="1">
        <v>77.83</v>
      </c>
      <c r="L336" s="1">
        <v>31.46</v>
      </c>
    </row>
    <row r="337" spans="1:12" ht="15.6" x14ac:dyDescent="0.3">
      <c r="A337" s="1" t="s">
        <v>373</v>
      </c>
      <c r="B337" s="1">
        <v>38</v>
      </c>
      <c r="C337" s="1" t="s">
        <v>19</v>
      </c>
      <c r="D337" s="1" t="s">
        <v>20</v>
      </c>
      <c r="E337" s="1" t="s">
        <v>36</v>
      </c>
      <c r="F337" s="1">
        <v>555</v>
      </c>
      <c r="G337" s="1">
        <v>138</v>
      </c>
      <c r="H337" s="1" t="s">
        <v>37</v>
      </c>
      <c r="I337" s="1" t="s">
        <v>23</v>
      </c>
      <c r="J337" s="1" t="s">
        <v>17</v>
      </c>
      <c r="K337" s="1">
        <v>56.82</v>
      </c>
      <c r="L337" s="1">
        <v>19.329999999999998</v>
      </c>
    </row>
    <row r="338" spans="1:12" ht="15.6" x14ac:dyDescent="0.3">
      <c r="A338" s="1" t="s">
        <v>374</v>
      </c>
      <c r="B338" s="1">
        <v>55</v>
      </c>
      <c r="C338" s="1" t="s">
        <v>26</v>
      </c>
      <c r="D338" s="1" t="s">
        <v>27</v>
      </c>
      <c r="E338" s="1" t="s">
        <v>21</v>
      </c>
      <c r="F338" s="1">
        <v>251</v>
      </c>
      <c r="G338" s="1">
        <v>440</v>
      </c>
      <c r="H338" s="1" t="s">
        <v>22</v>
      </c>
      <c r="I338" s="1" t="s">
        <v>16</v>
      </c>
      <c r="J338" s="1" t="s">
        <v>24</v>
      </c>
      <c r="K338" s="1">
        <v>21.15</v>
      </c>
      <c r="L338" s="1">
        <v>59.94</v>
      </c>
    </row>
    <row r="339" spans="1:12" ht="15.6" x14ac:dyDescent="0.3">
      <c r="A339" s="1" t="s">
        <v>375</v>
      </c>
      <c r="B339" s="1">
        <v>55</v>
      </c>
      <c r="C339" s="1" t="s">
        <v>29</v>
      </c>
      <c r="D339" s="1" t="s">
        <v>35</v>
      </c>
      <c r="E339" s="1" t="s">
        <v>36</v>
      </c>
      <c r="F339" s="1">
        <v>351</v>
      </c>
      <c r="G339" s="1">
        <v>96</v>
      </c>
      <c r="H339" s="1" t="s">
        <v>48</v>
      </c>
      <c r="I339" s="1" t="s">
        <v>23</v>
      </c>
      <c r="J339" s="1" t="s">
        <v>24</v>
      </c>
      <c r="K339" s="1">
        <v>16.97</v>
      </c>
      <c r="L339" s="1">
        <v>9.06</v>
      </c>
    </row>
    <row r="340" spans="1:12" ht="15.6" x14ac:dyDescent="0.3">
      <c r="A340" s="1" t="s">
        <v>376</v>
      </c>
      <c r="B340" s="1">
        <v>37</v>
      </c>
      <c r="C340" s="1" t="s">
        <v>26</v>
      </c>
      <c r="D340" s="1" t="s">
        <v>20</v>
      </c>
      <c r="E340" s="1" t="s">
        <v>2</v>
      </c>
      <c r="F340" s="1">
        <v>452</v>
      </c>
      <c r="G340" s="1">
        <v>266</v>
      </c>
      <c r="H340" s="1" t="s">
        <v>37</v>
      </c>
      <c r="I340" s="1" t="s">
        <v>23</v>
      </c>
      <c r="J340" s="1" t="s">
        <v>17</v>
      </c>
      <c r="K340" s="1">
        <v>19.510000000000002</v>
      </c>
      <c r="L340" s="1">
        <v>68.47</v>
      </c>
    </row>
    <row r="341" spans="1:12" ht="15.6" x14ac:dyDescent="0.3">
      <c r="A341" s="1" t="s">
        <v>377</v>
      </c>
      <c r="B341" s="1">
        <v>13</v>
      </c>
      <c r="C341" s="1" t="s">
        <v>26</v>
      </c>
      <c r="D341" s="1" t="s">
        <v>14</v>
      </c>
      <c r="E341" s="1" t="s">
        <v>21</v>
      </c>
      <c r="F341" s="1">
        <v>26</v>
      </c>
      <c r="G341" s="1">
        <v>173</v>
      </c>
      <c r="H341" s="1" t="s">
        <v>15</v>
      </c>
      <c r="I341" s="1" t="s">
        <v>16</v>
      </c>
      <c r="J341" s="1" t="s">
        <v>38</v>
      </c>
      <c r="K341" s="1">
        <v>29.38</v>
      </c>
      <c r="L341" s="1">
        <v>30.56</v>
      </c>
    </row>
    <row r="342" spans="1:12" ht="15.6" x14ac:dyDescent="0.3">
      <c r="A342" s="1" t="s">
        <v>378</v>
      </c>
      <c r="B342" s="1">
        <v>39</v>
      </c>
      <c r="C342" s="1" t="s">
        <v>29</v>
      </c>
      <c r="D342" s="1" t="s">
        <v>30</v>
      </c>
      <c r="E342" s="1" t="s">
        <v>21</v>
      </c>
      <c r="F342" s="1">
        <v>430</v>
      </c>
      <c r="G342" s="1">
        <v>341</v>
      </c>
      <c r="H342" s="1" t="s">
        <v>15</v>
      </c>
      <c r="I342" s="1" t="s">
        <v>16</v>
      </c>
      <c r="J342" s="1" t="s">
        <v>17</v>
      </c>
      <c r="K342" s="1">
        <v>43.96</v>
      </c>
      <c r="L342" s="1">
        <v>69.67</v>
      </c>
    </row>
    <row r="343" spans="1:12" ht="15.6" x14ac:dyDescent="0.3">
      <c r="A343" s="1" t="s">
        <v>379</v>
      </c>
      <c r="B343" s="1">
        <v>47</v>
      </c>
      <c r="C343" s="1" t="s">
        <v>19</v>
      </c>
      <c r="D343" s="1" t="s">
        <v>14</v>
      </c>
      <c r="E343" s="1" t="s">
        <v>40</v>
      </c>
      <c r="F343" s="1">
        <v>438</v>
      </c>
      <c r="G343" s="1">
        <v>7</v>
      </c>
      <c r="H343" s="1" t="s">
        <v>48</v>
      </c>
      <c r="I343" s="1" t="s">
        <v>16</v>
      </c>
      <c r="J343" s="1" t="s">
        <v>24</v>
      </c>
      <c r="K343" s="1">
        <v>83.03</v>
      </c>
      <c r="L343" s="1">
        <v>41.1</v>
      </c>
    </row>
    <row r="344" spans="1:12" ht="15.6" x14ac:dyDescent="0.3">
      <c r="A344" s="1" t="s">
        <v>380</v>
      </c>
      <c r="B344" s="1">
        <v>33</v>
      </c>
      <c r="C344" s="1" t="s">
        <v>29</v>
      </c>
      <c r="D344" s="1" t="s">
        <v>20</v>
      </c>
      <c r="E344" s="1" t="s">
        <v>2</v>
      </c>
      <c r="F344" s="1">
        <v>527</v>
      </c>
      <c r="G344" s="1">
        <v>293</v>
      </c>
      <c r="H344" s="1" t="s">
        <v>48</v>
      </c>
      <c r="I344" s="1" t="s">
        <v>23</v>
      </c>
      <c r="J344" s="1" t="s">
        <v>17</v>
      </c>
      <c r="K344" s="1">
        <v>41.77</v>
      </c>
      <c r="L344" s="1">
        <v>61.71</v>
      </c>
    </row>
    <row r="345" spans="1:12" ht="15.6" x14ac:dyDescent="0.3">
      <c r="A345" s="1" t="s">
        <v>381</v>
      </c>
      <c r="B345" s="1">
        <v>59</v>
      </c>
      <c r="C345" s="1" t="s">
        <v>29</v>
      </c>
      <c r="D345" s="1" t="s">
        <v>30</v>
      </c>
      <c r="E345" s="1" t="s">
        <v>31</v>
      </c>
      <c r="F345" s="1">
        <v>21</v>
      </c>
      <c r="G345" s="1">
        <v>72</v>
      </c>
      <c r="H345" s="1" t="s">
        <v>37</v>
      </c>
      <c r="I345" s="1" t="s">
        <v>16</v>
      </c>
      <c r="J345" s="1" t="s">
        <v>24</v>
      </c>
      <c r="K345" s="1">
        <v>61.65</v>
      </c>
      <c r="L345" s="1">
        <v>36.630000000000003</v>
      </c>
    </row>
    <row r="346" spans="1:12" ht="15.6" x14ac:dyDescent="0.3">
      <c r="A346" s="1" t="s">
        <v>382</v>
      </c>
      <c r="B346" s="1">
        <v>40</v>
      </c>
      <c r="C346" s="1" t="s">
        <v>34</v>
      </c>
      <c r="D346" s="1" t="s">
        <v>35</v>
      </c>
      <c r="E346" s="1" t="s">
        <v>45</v>
      </c>
      <c r="F346" s="1">
        <v>339</v>
      </c>
      <c r="G346" s="1">
        <v>262</v>
      </c>
      <c r="H346" s="1" t="s">
        <v>48</v>
      </c>
      <c r="I346" s="1" t="s">
        <v>23</v>
      </c>
      <c r="J346" s="1" t="s">
        <v>38</v>
      </c>
      <c r="K346" s="1">
        <v>11.75</v>
      </c>
      <c r="L346" s="1">
        <v>64.83</v>
      </c>
    </row>
    <row r="347" spans="1:12" ht="15.6" x14ac:dyDescent="0.3">
      <c r="A347" s="1" t="s">
        <v>383</v>
      </c>
      <c r="B347" s="1">
        <v>39</v>
      </c>
      <c r="C347" s="1" t="s">
        <v>34</v>
      </c>
      <c r="D347" s="1" t="s">
        <v>20</v>
      </c>
      <c r="E347" s="1" t="s">
        <v>21</v>
      </c>
      <c r="F347" s="1">
        <v>542</v>
      </c>
      <c r="G347" s="1">
        <v>182</v>
      </c>
      <c r="H347" s="1" t="s">
        <v>22</v>
      </c>
      <c r="I347" s="1" t="s">
        <v>16</v>
      </c>
      <c r="J347" s="1" t="s">
        <v>17</v>
      </c>
      <c r="K347" s="1">
        <v>17.239999999999998</v>
      </c>
      <c r="L347" s="1">
        <v>47.62</v>
      </c>
    </row>
    <row r="348" spans="1:12" ht="15.6" x14ac:dyDescent="0.3">
      <c r="A348" s="1" t="s">
        <v>384</v>
      </c>
      <c r="B348" s="1">
        <v>54</v>
      </c>
      <c r="C348" s="1" t="s">
        <v>19</v>
      </c>
      <c r="D348" s="1" t="s">
        <v>35</v>
      </c>
      <c r="E348" s="1" t="s">
        <v>21</v>
      </c>
      <c r="F348" s="1">
        <v>480</v>
      </c>
      <c r="G348" s="1">
        <v>145</v>
      </c>
      <c r="H348" s="1" t="s">
        <v>48</v>
      </c>
      <c r="I348" s="1" t="s">
        <v>16</v>
      </c>
      <c r="J348" s="1" t="s">
        <v>17</v>
      </c>
      <c r="K348" s="1">
        <v>76.31</v>
      </c>
      <c r="L348" s="1">
        <v>53.5</v>
      </c>
    </row>
    <row r="349" spans="1:12" ht="15.6" x14ac:dyDescent="0.3">
      <c r="A349" s="1" t="s">
        <v>385</v>
      </c>
      <c r="B349" s="1">
        <v>30</v>
      </c>
      <c r="C349" s="1" t="s">
        <v>29</v>
      </c>
      <c r="D349" s="1" t="s">
        <v>14</v>
      </c>
      <c r="E349" s="1" t="s">
        <v>31</v>
      </c>
      <c r="F349" s="1">
        <v>453</v>
      </c>
      <c r="G349" s="1">
        <v>105</v>
      </c>
      <c r="H349" s="1" t="s">
        <v>22</v>
      </c>
      <c r="I349" s="1" t="s">
        <v>23</v>
      </c>
      <c r="J349" s="1" t="s">
        <v>38</v>
      </c>
      <c r="K349" s="1">
        <v>21.67</v>
      </c>
      <c r="L349" s="1">
        <v>20.14</v>
      </c>
    </row>
    <row r="350" spans="1:12" ht="15.6" x14ac:dyDescent="0.3">
      <c r="A350" s="1" t="s">
        <v>386</v>
      </c>
      <c r="B350" s="1">
        <v>41</v>
      </c>
      <c r="C350" s="1" t="s">
        <v>19</v>
      </c>
      <c r="D350" s="1" t="s">
        <v>50</v>
      </c>
      <c r="E350" s="1" t="s">
        <v>40</v>
      </c>
      <c r="F350" s="1">
        <v>133</v>
      </c>
      <c r="G350" s="1">
        <v>152</v>
      </c>
      <c r="H350" s="1" t="s">
        <v>37</v>
      </c>
      <c r="I350" s="1" t="s">
        <v>23</v>
      </c>
      <c r="J350" s="1" t="s">
        <v>17</v>
      </c>
      <c r="K350" s="1">
        <v>12.48</v>
      </c>
      <c r="L350" s="1">
        <v>63.85</v>
      </c>
    </row>
    <row r="351" spans="1:12" ht="15.6" x14ac:dyDescent="0.3">
      <c r="A351" s="1" t="s">
        <v>387</v>
      </c>
      <c r="B351" s="1">
        <v>23</v>
      </c>
      <c r="C351" s="1" t="s">
        <v>34</v>
      </c>
      <c r="D351" s="1" t="s">
        <v>30</v>
      </c>
      <c r="E351" s="1" t="s">
        <v>21</v>
      </c>
      <c r="F351" s="1">
        <v>425</v>
      </c>
      <c r="G351" s="1">
        <v>283</v>
      </c>
      <c r="H351" s="1" t="s">
        <v>32</v>
      </c>
      <c r="I351" s="1" t="s">
        <v>23</v>
      </c>
      <c r="J351" s="1" t="s">
        <v>24</v>
      </c>
      <c r="K351" s="1">
        <v>71.37</v>
      </c>
      <c r="L351" s="1">
        <v>78.16</v>
      </c>
    </row>
    <row r="352" spans="1:12" ht="15.6" x14ac:dyDescent="0.3">
      <c r="A352" s="1" t="s">
        <v>388</v>
      </c>
      <c r="B352" s="1">
        <v>38</v>
      </c>
      <c r="C352" s="1" t="s">
        <v>34</v>
      </c>
      <c r="D352" s="1" t="s">
        <v>35</v>
      </c>
      <c r="E352" s="1" t="s">
        <v>40</v>
      </c>
      <c r="F352" s="1">
        <v>380</v>
      </c>
      <c r="G352" s="1">
        <v>26</v>
      </c>
      <c r="H352" s="1" t="s">
        <v>48</v>
      </c>
      <c r="I352" s="1" t="s">
        <v>23</v>
      </c>
      <c r="J352" s="1" t="s">
        <v>38</v>
      </c>
      <c r="K352" s="1">
        <v>26.3</v>
      </c>
      <c r="L352" s="1">
        <v>70.33</v>
      </c>
    </row>
    <row r="353" spans="1:12" ht="15.6" x14ac:dyDescent="0.3">
      <c r="A353" s="1" t="s">
        <v>389</v>
      </c>
      <c r="B353" s="1">
        <v>19</v>
      </c>
      <c r="C353" s="1" t="s">
        <v>26</v>
      </c>
      <c r="D353" s="1" t="s">
        <v>50</v>
      </c>
      <c r="E353" s="1" t="s">
        <v>45</v>
      </c>
      <c r="F353" s="1">
        <v>438</v>
      </c>
      <c r="G353" s="1">
        <v>221</v>
      </c>
      <c r="H353" s="1" t="s">
        <v>22</v>
      </c>
      <c r="I353" s="1" t="s">
        <v>16</v>
      </c>
      <c r="J353" s="1" t="s">
        <v>38</v>
      </c>
      <c r="K353" s="1">
        <v>45.18</v>
      </c>
      <c r="L353" s="1">
        <v>5.16</v>
      </c>
    </row>
    <row r="354" spans="1:12" ht="15.6" x14ac:dyDescent="0.3">
      <c r="A354" s="1" t="s">
        <v>390</v>
      </c>
      <c r="B354" s="1">
        <v>59</v>
      </c>
      <c r="C354" s="1" t="s">
        <v>26</v>
      </c>
      <c r="D354" s="1" t="s">
        <v>50</v>
      </c>
      <c r="E354" s="1" t="s">
        <v>2</v>
      </c>
      <c r="F354" s="1">
        <v>348</v>
      </c>
      <c r="G354" s="1">
        <v>260</v>
      </c>
      <c r="H354" s="1" t="s">
        <v>37</v>
      </c>
      <c r="I354" s="1" t="s">
        <v>16</v>
      </c>
      <c r="J354" s="1" t="s">
        <v>17</v>
      </c>
      <c r="K354" s="1">
        <v>36.51</v>
      </c>
      <c r="L354" s="1">
        <v>37.44</v>
      </c>
    </row>
    <row r="355" spans="1:12" ht="15.6" x14ac:dyDescent="0.3">
      <c r="A355" s="1" t="s">
        <v>391</v>
      </c>
      <c r="B355" s="1">
        <v>24</v>
      </c>
      <c r="C355" s="1" t="s">
        <v>29</v>
      </c>
      <c r="D355" s="1" t="s">
        <v>14</v>
      </c>
      <c r="E355" s="1" t="s">
        <v>45</v>
      </c>
      <c r="F355" s="1">
        <v>108</v>
      </c>
      <c r="G355" s="1">
        <v>876</v>
      </c>
      <c r="H355" s="1" t="s">
        <v>22</v>
      </c>
      <c r="I355" s="1" t="s">
        <v>23</v>
      </c>
      <c r="J355" s="1" t="s">
        <v>17</v>
      </c>
      <c r="K355" s="1">
        <v>47.51</v>
      </c>
      <c r="L355" s="1">
        <v>35.659999999999997</v>
      </c>
    </row>
    <row r="356" spans="1:12" ht="15.6" x14ac:dyDescent="0.3">
      <c r="A356" s="1" t="s">
        <v>392</v>
      </c>
      <c r="B356" s="1">
        <v>51</v>
      </c>
      <c r="C356" s="1" t="s">
        <v>26</v>
      </c>
      <c r="D356" s="1" t="s">
        <v>20</v>
      </c>
      <c r="E356" s="1" t="s">
        <v>36</v>
      </c>
      <c r="F356" s="1">
        <v>364</v>
      </c>
      <c r="G356" s="1">
        <v>16</v>
      </c>
      <c r="H356" s="1" t="s">
        <v>22</v>
      </c>
      <c r="I356" s="1" t="s">
        <v>16</v>
      </c>
      <c r="J356" s="1" t="s">
        <v>17</v>
      </c>
      <c r="K356" s="1">
        <v>54.18</v>
      </c>
      <c r="L356" s="1">
        <v>27.33</v>
      </c>
    </row>
    <row r="357" spans="1:12" ht="15.6" x14ac:dyDescent="0.3">
      <c r="A357" s="1" t="s">
        <v>393</v>
      </c>
      <c r="B357" s="1">
        <v>16</v>
      </c>
      <c r="C357" s="1" t="s">
        <v>26</v>
      </c>
      <c r="D357" s="1" t="s">
        <v>30</v>
      </c>
      <c r="E357" s="1" t="s">
        <v>45</v>
      </c>
      <c r="F357" s="1">
        <v>190</v>
      </c>
      <c r="G357" s="1">
        <v>475</v>
      </c>
      <c r="H357" s="1" t="s">
        <v>22</v>
      </c>
      <c r="I357" s="1" t="s">
        <v>23</v>
      </c>
      <c r="J357" s="1" t="s">
        <v>24</v>
      </c>
      <c r="K357" s="1">
        <v>28.35</v>
      </c>
      <c r="L357" s="1">
        <v>60.46</v>
      </c>
    </row>
    <row r="358" spans="1:12" ht="15.6" x14ac:dyDescent="0.3">
      <c r="A358" s="1" t="s">
        <v>394</v>
      </c>
      <c r="B358" s="1">
        <v>18</v>
      </c>
      <c r="C358" s="1" t="s">
        <v>34</v>
      </c>
      <c r="D358" s="1" t="s">
        <v>14</v>
      </c>
      <c r="E358" s="1" t="s">
        <v>31</v>
      </c>
      <c r="F358" s="1">
        <v>451</v>
      </c>
      <c r="G358" s="1">
        <v>396</v>
      </c>
      <c r="H358" s="1" t="s">
        <v>37</v>
      </c>
      <c r="I358" s="1" t="s">
        <v>23</v>
      </c>
      <c r="J358" s="1" t="s">
        <v>17</v>
      </c>
      <c r="K358" s="1">
        <v>79.260000000000005</v>
      </c>
      <c r="L358" s="1">
        <v>18.78</v>
      </c>
    </row>
    <row r="359" spans="1:12" ht="15.6" x14ac:dyDescent="0.3">
      <c r="A359" s="1" t="s">
        <v>395</v>
      </c>
      <c r="B359" s="1">
        <v>36</v>
      </c>
      <c r="C359" s="1" t="s">
        <v>34</v>
      </c>
      <c r="D359" s="1" t="s">
        <v>50</v>
      </c>
      <c r="E359" s="1" t="s">
        <v>45</v>
      </c>
      <c r="F359" s="1">
        <v>509</v>
      </c>
      <c r="G359" s="1">
        <v>332</v>
      </c>
      <c r="H359" s="1" t="s">
        <v>48</v>
      </c>
      <c r="I359" s="1" t="s">
        <v>16</v>
      </c>
      <c r="J359" s="1" t="s">
        <v>17</v>
      </c>
      <c r="K359" s="1">
        <v>17.82</v>
      </c>
      <c r="L359" s="1">
        <v>76.05</v>
      </c>
    </row>
    <row r="360" spans="1:12" ht="15.6" x14ac:dyDescent="0.3">
      <c r="A360" s="1" t="s">
        <v>396</v>
      </c>
      <c r="B360" s="1">
        <v>17</v>
      </c>
      <c r="C360" s="1" t="s">
        <v>34</v>
      </c>
      <c r="D360" s="1" t="s">
        <v>50</v>
      </c>
      <c r="E360" s="1" t="s">
        <v>40</v>
      </c>
      <c r="F360" s="1">
        <v>190</v>
      </c>
      <c r="G360" s="1">
        <v>6</v>
      </c>
      <c r="H360" s="1" t="s">
        <v>15</v>
      </c>
      <c r="I360" s="1" t="s">
        <v>16</v>
      </c>
      <c r="J360" s="1" t="s">
        <v>38</v>
      </c>
      <c r="K360" s="1">
        <v>27.44</v>
      </c>
      <c r="L360" s="1">
        <v>54.71</v>
      </c>
    </row>
    <row r="361" spans="1:12" ht="15.6" x14ac:dyDescent="0.3">
      <c r="A361" s="1" t="s">
        <v>397</v>
      </c>
      <c r="B361" s="1">
        <v>59</v>
      </c>
      <c r="C361" s="1" t="s">
        <v>34</v>
      </c>
      <c r="D361" s="1" t="s">
        <v>27</v>
      </c>
      <c r="E361" s="1" t="s">
        <v>21</v>
      </c>
      <c r="F361" s="1">
        <v>278</v>
      </c>
      <c r="G361" s="1">
        <v>90</v>
      </c>
      <c r="H361" s="1" t="s">
        <v>15</v>
      </c>
      <c r="I361" s="1" t="s">
        <v>23</v>
      </c>
      <c r="J361" s="1" t="s">
        <v>17</v>
      </c>
      <c r="K361" s="1">
        <v>21.02</v>
      </c>
      <c r="L361" s="1">
        <v>44.4</v>
      </c>
    </row>
    <row r="362" spans="1:12" ht="15.6" x14ac:dyDescent="0.3">
      <c r="A362" s="1" t="s">
        <v>398</v>
      </c>
      <c r="B362" s="1">
        <v>13</v>
      </c>
      <c r="C362" s="1" t="s">
        <v>13</v>
      </c>
      <c r="D362" s="1" t="s">
        <v>50</v>
      </c>
      <c r="E362" s="1" t="s">
        <v>40</v>
      </c>
      <c r="F362" s="1">
        <v>566</v>
      </c>
      <c r="G362" s="1">
        <v>443</v>
      </c>
      <c r="H362" s="1" t="s">
        <v>15</v>
      </c>
      <c r="I362" s="1" t="s">
        <v>23</v>
      </c>
      <c r="J362" s="1" t="s">
        <v>17</v>
      </c>
      <c r="K362" s="1">
        <v>69.349999999999994</v>
      </c>
      <c r="L362" s="1">
        <v>18.86</v>
      </c>
    </row>
    <row r="363" spans="1:12" ht="15.6" x14ac:dyDescent="0.3">
      <c r="A363" s="1" t="s">
        <v>399</v>
      </c>
      <c r="B363" s="1">
        <v>33</v>
      </c>
      <c r="C363" s="1" t="s">
        <v>26</v>
      </c>
      <c r="D363" s="1" t="s">
        <v>27</v>
      </c>
      <c r="E363" s="1" t="s">
        <v>40</v>
      </c>
      <c r="F363" s="1">
        <v>598</v>
      </c>
      <c r="G363" s="1">
        <v>413</v>
      </c>
      <c r="H363" s="1" t="s">
        <v>15</v>
      </c>
      <c r="I363" s="1" t="s">
        <v>23</v>
      </c>
      <c r="J363" s="1" t="s">
        <v>38</v>
      </c>
      <c r="K363" s="1">
        <v>62.24</v>
      </c>
      <c r="L363" s="1">
        <v>64.81</v>
      </c>
    </row>
    <row r="364" spans="1:12" ht="15.6" x14ac:dyDescent="0.3">
      <c r="A364" s="1" t="s">
        <v>400</v>
      </c>
      <c r="B364" s="1">
        <v>26</v>
      </c>
      <c r="C364" s="1" t="s">
        <v>29</v>
      </c>
      <c r="D364" s="1" t="s">
        <v>35</v>
      </c>
      <c r="E364" s="1" t="s">
        <v>2</v>
      </c>
      <c r="F364" s="1">
        <v>358</v>
      </c>
      <c r="G364" s="1">
        <v>467</v>
      </c>
      <c r="H364" s="1" t="s">
        <v>37</v>
      </c>
      <c r="I364" s="1" t="s">
        <v>16</v>
      </c>
      <c r="J364" s="1" t="s">
        <v>17</v>
      </c>
      <c r="K364" s="1">
        <v>18.62</v>
      </c>
      <c r="L364" s="1">
        <v>71.22</v>
      </c>
    </row>
    <row r="365" spans="1:12" ht="15.6" x14ac:dyDescent="0.3">
      <c r="A365" s="1" t="s">
        <v>401</v>
      </c>
      <c r="B365" s="1">
        <v>24</v>
      </c>
      <c r="C365" s="1" t="s">
        <v>29</v>
      </c>
      <c r="D365" s="1" t="s">
        <v>50</v>
      </c>
      <c r="E365" s="1" t="s">
        <v>2</v>
      </c>
      <c r="F365" s="1">
        <v>557</v>
      </c>
      <c r="G365" s="1">
        <v>461</v>
      </c>
      <c r="H365" s="1" t="s">
        <v>37</v>
      </c>
      <c r="I365" s="1" t="s">
        <v>16</v>
      </c>
      <c r="J365" s="1" t="s">
        <v>24</v>
      </c>
      <c r="K365" s="1">
        <v>48.8</v>
      </c>
      <c r="L365" s="1">
        <v>25.82</v>
      </c>
    </row>
    <row r="366" spans="1:12" ht="15.6" x14ac:dyDescent="0.3">
      <c r="A366" s="1" t="s">
        <v>402</v>
      </c>
      <c r="B366" s="1">
        <v>48</v>
      </c>
      <c r="C366" s="1" t="s">
        <v>34</v>
      </c>
      <c r="D366" s="1" t="s">
        <v>14</v>
      </c>
      <c r="E366" s="1" t="s">
        <v>40</v>
      </c>
      <c r="F366" s="1">
        <v>496</v>
      </c>
      <c r="G366" s="1">
        <v>350</v>
      </c>
      <c r="H366" s="1" t="s">
        <v>32</v>
      </c>
      <c r="I366" s="1" t="s">
        <v>16</v>
      </c>
      <c r="J366" s="1" t="s">
        <v>24</v>
      </c>
      <c r="K366" s="1">
        <v>79.84</v>
      </c>
      <c r="L366" s="1">
        <v>19.940000000000001</v>
      </c>
    </row>
    <row r="367" spans="1:12" ht="15.6" x14ac:dyDescent="0.3">
      <c r="A367" s="1" t="s">
        <v>403</v>
      </c>
      <c r="B367" s="1">
        <v>28</v>
      </c>
      <c r="C367" s="1" t="s">
        <v>13</v>
      </c>
      <c r="D367" s="1" t="s">
        <v>27</v>
      </c>
      <c r="E367" s="1" t="s">
        <v>2</v>
      </c>
      <c r="F367" s="1">
        <v>68</v>
      </c>
      <c r="G367" s="1">
        <v>363</v>
      </c>
      <c r="H367" s="1" t="s">
        <v>48</v>
      </c>
      <c r="I367" s="1" t="s">
        <v>23</v>
      </c>
      <c r="J367" s="1" t="s">
        <v>38</v>
      </c>
      <c r="K367" s="1">
        <v>43.12</v>
      </c>
      <c r="L367" s="1">
        <v>37.42</v>
      </c>
    </row>
    <row r="368" spans="1:12" ht="15.6" x14ac:dyDescent="0.3">
      <c r="A368" s="1" t="s">
        <v>404</v>
      </c>
      <c r="B368" s="1">
        <v>22</v>
      </c>
      <c r="C368" s="1" t="s">
        <v>13</v>
      </c>
      <c r="D368" s="1" t="s">
        <v>14</v>
      </c>
      <c r="E368" s="1" t="s">
        <v>21</v>
      </c>
      <c r="F368" s="1">
        <v>588</v>
      </c>
      <c r="G368" s="1">
        <v>274</v>
      </c>
      <c r="H368" s="1" t="s">
        <v>22</v>
      </c>
      <c r="I368" s="1" t="s">
        <v>23</v>
      </c>
      <c r="J368" s="1" t="s">
        <v>24</v>
      </c>
      <c r="K368" s="1">
        <v>20.91</v>
      </c>
      <c r="L368" s="1">
        <v>79.66</v>
      </c>
    </row>
    <row r="369" spans="1:12" ht="15.6" x14ac:dyDescent="0.3">
      <c r="A369" s="1" t="s">
        <v>405</v>
      </c>
      <c r="B369" s="1">
        <v>60</v>
      </c>
      <c r="C369" s="1" t="s">
        <v>19</v>
      </c>
      <c r="D369" s="1" t="s">
        <v>35</v>
      </c>
      <c r="E369" s="1" t="s">
        <v>21</v>
      </c>
      <c r="F369" s="1">
        <v>595</v>
      </c>
      <c r="G369" s="1">
        <v>166</v>
      </c>
      <c r="H369" s="1" t="s">
        <v>48</v>
      </c>
      <c r="I369" s="1" t="s">
        <v>16</v>
      </c>
      <c r="J369" s="1" t="s">
        <v>38</v>
      </c>
      <c r="K369" s="1">
        <v>53.48</v>
      </c>
      <c r="L369" s="1">
        <v>6.27</v>
      </c>
    </row>
    <row r="370" spans="1:12" ht="15.6" x14ac:dyDescent="0.3">
      <c r="A370" s="1" t="s">
        <v>406</v>
      </c>
      <c r="B370" s="1">
        <v>35</v>
      </c>
      <c r="C370" s="1" t="s">
        <v>19</v>
      </c>
      <c r="D370" s="1" t="s">
        <v>35</v>
      </c>
      <c r="E370" s="1" t="s">
        <v>31</v>
      </c>
      <c r="F370" s="1">
        <v>567</v>
      </c>
      <c r="G370" s="1">
        <v>15</v>
      </c>
      <c r="H370" s="1" t="s">
        <v>48</v>
      </c>
      <c r="I370" s="1" t="s">
        <v>16</v>
      </c>
      <c r="J370" s="1" t="s">
        <v>24</v>
      </c>
      <c r="K370" s="1">
        <v>17.829999999999998</v>
      </c>
      <c r="L370" s="1">
        <v>24.62</v>
      </c>
    </row>
    <row r="371" spans="1:12" ht="15.6" x14ac:dyDescent="0.3">
      <c r="A371" s="1" t="s">
        <v>407</v>
      </c>
      <c r="B371" s="1">
        <v>47</v>
      </c>
      <c r="C371" s="1" t="s">
        <v>29</v>
      </c>
      <c r="D371" s="1" t="s">
        <v>50</v>
      </c>
      <c r="E371" s="1" t="s">
        <v>45</v>
      </c>
      <c r="F371" s="1">
        <v>256</v>
      </c>
      <c r="G371" s="1">
        <v>134</v>
      </c>
      <c r="H371" s="1" t="s">
        <v>48</v>
      </c>
      <c r="I371" s="1" t="s">
        <v>23</v>
      </c>
      <c r="J371" s="1" t="s">
        <v>24</v>
      </c>
      <c r="K371" s="1">
        <v>84.81</v>
      </c>
      <c r="L371" s="1">
        <v>73.64</v>
      </c>
    </row>
    <row r="372" spans="1:12" ht="15.6" x14ac:dyDescent="0.3">
      <c r="A372" s="1" t="s">
        <v>408</v>
      </c>
      <c r="B372" s="1">
        <v>43</v>
      </c>
      <c r="C372" s="1" t="s">
        <v>34</v>
      </c>
      <c r="D372" s="1" t="s">
        <v>27</v>
      </c>
      <c r="E372" s="1" t="s">
        <v>40</v>
      </c>
      <c r="F372" s="1">
        <v>448</v>
      </c>
      <c r="G372" s="1">
        <v>446</v>
      </c>
      <c r="H372" s="1" t="s">
        <v>32</v>
      </c>
      <c r="I372" s="1" t="s">
        <v>16</v>
      </c>
      <c r="J372" s="1" t="s">
        <v>17</v>
      </c>
      <c r="K372" s="1">
        <v>56.45</v>
      </c>
      <c r="L372" s="1">
        <v>73.22</v>
      </c>
    </row>
    <row r="373" spans="1:12" ht="15.6" x14ac:dyDescent="0.3">
      <c r="A373" s="1" t="s">
        <v>409</v>
      </c>
      <c r="B373" s="1">
        <v>45</v>
      </c>
      <c r="C373" s="1" t="s">
        <v>19</v>
      </c>
      <c r="D373" s="1" t="s">
        <v>27</v>
      </c>
      <c r="E373" s="1" t="s">
        <v>21</v>
      </c>
      <c r="F373" s="1">
        <v>161</v>
      </c>
      <c r="G373" s="1">
        <v>37</v>
      </c>
      <c r="H373" s="1" t="s">
        <v>22</v>
      </c>
      <c r="I373" s="1" t="s">
        <v>23</v>
      </c>
      <c r="J373" s="1" t="s">
        <v>17</v>
      </c>
      <c r="K373" s="1">
        <v>22.35</v>
      </c>
      <c r="L373" s="1">
        <v>18.3</v>
      </c>
    </row>
    <row r="374" spans="1:12" ht="15.6" x14ac:dyDescent="0.3">
      <c r="A374" s="1" t="s">
        <v>410</v>
      </c>
      <c r="B374" s="1">
        <v>55</v>
      </c>
      <c r="C374" s="1" t="s">
        <v>34</v>
      </c>
      <c r="D374" s="1" t="s">
        <v>14</v>
      </c>
      <c r="E374" s="1" t="s">
        <v>36</v>
      </c>
      <c r="F374" s="1">
        <v>592</v>
      </c>
      <c r="G374" s="1">
        <v>390</v>
      </c>
      <c r="H374" s="1" t="s">
        <v>37</v>
      </c>
      <c r="I374" s="1" t="s">
        <v>16</v>
      </c>
      <c r="J374" s="1" t="s">
        <v>17</v>
      </c>
      <c r="K374" s="1">
        <v>69.930000000000007</v>
      </c>
      <c r="L374" s="1">
        <v>11.18</v>
      </c>
    </row>
    <row r="375" spans="1:12" ht="15.6" x14ac:dyDescent="0.3">
      <c r="A375" s="1" t="s">
        <v>411</v>
      </c>
      <c r="B375" s="1">
        <v>28</v>
      </c>
      <c r="C375" s="1" t="s">
        <v>13</v>
      </c>
      <c r="D375" s="1" t="s">
        <v>30</v>
      </c>
      <c r="E375" s="1" t="s">
        <v>21</v>
      </c>
      <c r="F375" s="1">
        <v>339</v>
      </c>
      <c r="G375" s="1">
        <v>368</v>
      </c>
      <c r="H375" s="1" t="s">
        <v>32</v>
      </c>
      <c r="I375" s="1" t="s">
        <v>16</v>
      </c>
      <c r="J375" s="1" t="s">
        <v>38</v>
      </c>
      <c r="K375" s="1">
        <v>80.61</v>
      </c>
      <c r="L375" s="1">
        <v>22.31</v>
      </c>
    </row>
    <row r="376" spans="1:12" ht="15.6" x14ac:dyDescent="0.3">
      <c r="A376" s="1" t="s">
        <v>412</v>
      </c>
      <c r="B376" s="1">
        <v>39</v>
      </c>
      <c r="C376" s="1" t="s">
        <v>13</v>
      </c>
      <c r="D376" s="1" t="s">
        <v>50</v>
      </c>
      <c r="E376" s="1" t="s">
        <v>21</v>
      </c>
      <c r="F376" s="1">
        <v>432</v>
      </c>
      <c r="G376" s="1">
        <v>188</v>
      </c>
      <c r="H376" s="1" t="s">
        <v>32</v>
      </c>
      <c r="I376" s="1" t="s">
        <v>16</v>
      </c>
      <c r="J376" s="1" t="s">
        <v>24</v>
      </c>
      <c r="K376" s="1">
        <v>78.150000000000006</v>
      </c>
      <c r="L376" s="1">
        <v>62.71</v>
      </c>
    </row>
    <row r="377" spans="1:12" ht="15.6" x14ac:dyDescent="0.3">
      <c r="A377" s="1" t="s">
        <v>413</v>
      </c>
      <c r="B377" s="1">
        <v>29</v>
      </c>
      <c r="C377" s="1" t="s">
        <v>34</v>
      </c>
      <c r="D377" s="1" t="s">
        <v>50</v>
      </c>
      <c r="E377" s="1" t="s">
        <v>40</v>
      </c>
      <c r="F377" s="1">
        <v>501</v>
      </c>
      <c r="G377" s="1">
        <v>326</v>
      </c>
      <c r="H377" s="1" t="s">
        <v>15</v>
      </c>
      <c r="I377" s="1" t="s">
        <v>23</v>
      </c>
      <c r="J377" s="1" t="s">
        <v>38</v>
      </c>
      <c r="K377" s="1">
        <v>34.83</v>
      </c>
      <c r="L377" s="1">
        <v>66.14</v>
      </c>
    </row>
    <row r="378" spans="1:12" ht="15.6" x14ac:dyDescent="0.3">
      <c r="A378" s="1" t="s">
        <v>414</v>
      </c>
      <c r="B378" s="1">
        <v>46</v>
      </c>
      <c r="C378" s="1" t="s">
        <v>19</v>
      </c>
      <c r="D378" s="1" t="s">
        <v>27</v>
      </c>
      <c r="E378" s="1" t="s">
        <v>36</v>
      </c>
      <c r="F378" s="1">
        <v>313</v>
      </c>
      <c r="G378" s="1">
        <v>379</v>
      </c>
      <c r="H378" s="1" t="s">
        <v>15</v>
      </c>
      <c r="I378" s="1" t="s">
        <v>23</v>
      </c>
      <c r="J378" s="1" t="s">
        <v>17</v>
      </c>
      <c r="K378" s="1">
        <v>27.6</v>
      </c>
      <c r="L378" s="1">
        <v>25.74</v>
      </c>
    </row>
    <row r="379" spans="1:12" ht="15.6" x14ac:dyDescent="0.3">
      <c r="A379" s="1" t="s">
        <v>415</v>
      </c>
      <c r="B379" s="1">
        <v>37</v>
      </c>
      <c r="C379" s="1" t="s">
        <v>26</v>
      </c>
      <c r="D379" s="1" t="s">
        <v>50</v>
      </c>
      <c r="E379" s="1" t="s">
        <v>31</v>
      </c>
      <c r="F379" s="1">
        <v>326</v>
      </c>
      <c r="G379" s="1">
        <v>218</v>
      </c>
      <c r="H379" s="1" t="s">
        <v>15</v>
      </c>
      <c r="I379" s="1" t="s">
        <v>16</v>
      </c>
      <c r="J379" s="1" t="s">
        <v>24</v>
      </c>
      <c r="K379" s="1">
        <v>35.79</v>
      </c>
      <c r="L379" s="1">
        <v>73.77</v>
      </c>
    </row>
    <row r="380" spans="1:12" ht="15.6" x14ac:dyDescent="0.3">
      <c r="A380" s="1" t="s">
        <v>416</v>
      </c>
      <c r="B380" s="1">
        <v>46</v>
      </c>
      <c r="C380" s="1" t="s">
        <v>34</v>
      </c>
      <c r="D380" s="1" t="s">
        <v>20</v>
      </c>
      <c r="E380" s="1" t="s">
        <v>31</v>
      </c>
      <c r="F380" s="1">
        <v>123</v>
      </c>
      <c r="G380" s="1">
        <v>236</v>
      </c>
      <c r="H380" s="1" t="s">
        <v>15</v>
      </c>
      <c r="I380" s="1" t="s">
        <v>16</v>
      </c>
      <c r="J380" s="1" t="s">
        <v>24</v>
      </c>
      <c r="K380" s="1">
        <v>53.68</v>
      </c>
      <c r="L380" s="1">
        <v>51.14</v>
      </c>
    </row>
    <row r="381" spans="1:12" ht="15.6" x14ac:dyDescent="0.3">
      <c r="A381" s="1" t="s">
        <v>417</v>
      </c>
      <c r="B381" s="1">
        <v>59</v>
      </c>
      <c r="C381" s="1" t="s">
        <v>19</v>
      </c>
      <c r="D381" s="1" t="s">
        <v>20</v>
      </c>
      <c r="E381" s="1" t="s">
        <v>21</v>
      </c>
      <c r="F381" s="1">
        <v>500</v>
      </c>
      <c r="G381" s="1">
        <v>194</v>
      </c>
      <c r="H381" s="1" t="s">
        <v>15</v>
      </c>
      <c r="I381" s="1" t="s">
        <v>23</v>
      </c>
      <c r="J381" s="1" t="s">
        <v>17</v>
      </c>
      <c r="K381" s="1">
        <v>45.88</v>
      </c>
      <c r="L381" s="1">
        <v>46.77</v>
      </c>
    </row>
    <row r="382" spans="1:12" ht="15.6" x14ac:dyDescent="0.3">
      <c r="A382" s="1" t="s">
        <v>418</v>
      </c>
      <c r="B382" s="1">
        <v>23</v>
      </c>
      <c r="C382" s="1" t="s">
        <v>13</v>
      </c>
      <c r="D382" s="1" t="s">
        <v>20</v>
      </c>
      <c r="E382" s="1" t="s">
        <v>2</v>
      </c>
      <c r="F382" s="1">
        <v>322</v>
      </c>
      <c r="G382" s="1">
        <v>289</v>
      </c>
      <c r="H382" s="1" t="s">
        <v>48</v>
      </c>
      <c r="I382" s="1" t="s">
        <v>16</v>
      </c>
      <c r="J382" s="1" t="s">
        <v>17</v>
      </c>
      <c r="K382" s="1">
        <v>53.45</v>
      </c>
      <c r="L382" s="1">
        <v>16.87</v>
      </c>
    </row>
    <row r="383" spans="1:12" ht="15.6" x14ac:dyDescent="0.3">
      <c r="A383" s="1" t="s">
        <v>419</v>
      </c>
      <c r="B383" s="1">
        <v>55</v>
      </c>
      <c r="C383" s="1" t="s">
        <v>34</v>
      </c>
      <c r="D383" s="1" t="s">
        <v>50</v>
      </c>
      <c r="E383" s="1" t="s">
        <v>45</v>
      </c>
      <c r="F383" s="1">
        <v>146</v>
      </c>
      <c r="G383" s="1">
        <v>54</v>
      </c>
      <c r="H383" s="1" t="s">
        <v>37</v>
      </c>
      <c r="I383" s="1" t="s">
        <v>16</v>
      </c>
      <c r="J383" s="1" t="s">
        <v>17</v>
      </c>
      <c r="K383" s="1">
        <v>66.489999999999995</v>
      </c>
      <c r="L383" s="1">
        <v>77.819999999999993</v>
      </c>
    </row>
    <row r="384" spans="1:12" ht="15.6" x14ac:dyDescent="0.3">
      <c r="A384" s="1" t="s">
        <v>420</v>
      </c>
      <c r="B384" s="1">
        <v>34</v>
      </c>
      <c r="C384" s="1" t="s">
        <v>26</v>
      </c>
      <c r="D384" s="1" t="s">
        <v>30</v>
      </c>
      <c r="E384" s="1" t="s">
        <v>2</v>
      </c>
      <c r="F384" s="1">
        <v>239</v>
      </c>
      <c r="G384" s="1">
        <v>432</v>
      </c>
      <c r="H384" s="1" t="s">
        <v>15</v>
      </c>
      <c r="I384" s="1" t="s">
        <v>23</v>
      </c>
      <c r="J384" s="1" t="s">
        <v>24</v>
      </c>
      <c r="K384" s="1">
        <v>81.83</v>
      </c>
      <c r="L384" s="1">
        <v>49.24</v>
      </c>
    </row>
    <row r="385" spans="1:12" ht="15.6" x14ac:dyDescent="0.3">
      <c r="A385" s="1" t="s">
        <v>421</v>
      </c>
      <c r="B385" s="1">
        <v>39</v>
      </c>
      <c r="C385" s="1" t="s">
        <v>34</v>
      </c>
      <c r="D385" s="1" t="s">
        <v>35</v>
      </c>
      <c r="E385" s="1" t="s">
        <v>40</v>
      </c>
      <c r="F385" s="1">
        <v>266</v>
      </c>
      <c r="G385" s="1">
        <v>424</v>
      </c>
      <c r="H385" s="1" t="s">
        <v>48</v>
      </c>
      <c r="I385" s="1" t="s">
        <v>16</v>
      </c>
      <c r="J385" s="1" t="s">
        <v>38</v>
      </c>
      <c r="K385" s="1">
        <v>53.6</v>
      </c>
      <c r="L385" s="1">
        <v>46.29</v>
      </c>
    </row>
    <row r="386" spans="1:12" ht="15.6" x14ac:dyDescent="0.3">
      <c r="A386" s="1" t="s">
        <v>422</v>
      </c>
      <c r="B386" s="1">
        <v>60</v>
      </c>
      <c r="C386" s="1" t="s">
        <v>34</v>
      </c>
      <c r="D386" s="1" t="s">
        <v>14</v>
      </c>
      <c r="E386" s="1" t="s">
        <v>31</v>
      </c>
      <c r="F386" s="1">
        <v>177</v>
      </c>
      <c r="G386" s="1">
        <v>440</v>
      </c>
      <c r="H386" s="1" t="s">
        <v>48</v>
      </c>
      <c r="I386" s="1" t="s">
        <v>16</v>
      </c>
      <c r="J386" s="1" t="s">
        <v>24</v>
      </c>
      <c r="K386" s="1">
        <v>37.979999999999997</v>
      </c>
      <c r="L386" s="1">
        <v>20.63</v>
      </c>
    </row>
    <row r="387" spans="1:12" ht="15.6" x14ac:dyDescent="0.3">
      <c r="A387" s="1" t="s">
        <v>423</v>
      </c>
      <c r="B387" s="1">
        <v>51</v>
      </c>
      <c r="C387" s="1" t="s">
        <v>34</v>
      </c>
      <c r="D387" s="1" t="s">
        <v>14</v>
      </c>
      <c r="E387" s="1" t="s">
        <v>36</v>
      </c>
      <c r="F387" s="1">
        <v>582</v>
      </c>
      <c r="G387" s="1">
        <v>92</v>
      </c>
      <c r="H387" s="1" t="s">
        <v>15</v>
      </c>
      <c r="I387" s="1" t="s">
        <v>23</v>
      </c>
      <c r="J387" s="1" t="s">
        <v>24</v>
      </c>
      <c r="K387" s="1">
        <v>74.709999999999994</v>
      </c>
      <c r="L387" s="1">
        <v>8.4</v>
      </c>
    </row>
    <row r="388" spans="1:12" ht="15.6" x14ac:dyDescent="0.3">
      <c r="A388" s="1" t="s">
        <v>424</v>
      </c>
      <c r="B388" s="1">
        <v>15</v>
      </c>
      <c r="C388" s="1" t="s">
        <v>29</v>
      </c>
      <c r="D388" s="1" t="s">
        <v>27</v>
      </c>
      <c r="E388" s="1" t="s">
        <v>21</v>
      </c>
      <c r="F388" s="1">
        <v>37</v>
      </c>
      <c r="G388" s="1">
        <v>395</v>
      </c>
      <c r="H388" s="1" t="s">
        <v>15</v>
      </c>
      <c r="I388" s="1" t="s">
        <v>23</v>
      </c>
      <c r="J388" s="1" t="s">
        <v>17</v>
      </c>
      <c r="K388" s="1">
        <v>84.23</v>
      </c>
      <c r="L388" s="1">
        <v>16.32</v>
      </c>
    </row>
    <row r="389" spans="1:12" ht="15.6" x14ac:dyDescent="0.3">
      <c r="A389" s="1" t="s">
        <v>425</v>
      </c>
      <c r="B389" s="1">
        <v>60</v>
      </c>
      <c r="C389" s="1" t="s">
        <v>19</v>
      </c>
      <c r="D389" s="1" t="s">
        <v>20</v>
      </c>
      <c r="E389" s="1" t="s">
        <v>21</v>
      </c>
      <c r="F389" s="1">
        <v>127</v>
      </c>
      <c r="G389" s="1">
        <v>42</v>
      </c>
      <c r="H389" s="1" t="s">
        <v>22</v>
      </c>
      <c r="I389" s="1" t="s">
        <v>16</v>
      </c>
      <c r="J389" s="1" t="s">
        <v>24</v>
      </c>
      <c r="K389" s="1">
        <v>68.78</v>
      </c>
      <c r="L389" s="1">
        <v>68.55</v>
      </c>
    </row>
    <row r="390" spans="1:12" ht="15.6" x14ac:dyDescent="0.3">
      <c r="A390" s="1" t="s">
        <v>426</v>
      </c>
      <c r="B390" s="1">
        <v>47</v>
      </c>
      <c r="C390" s="1" t="s">
        <v>29</v>
      </c>
      <c r="D390" s="1" t="s">
        <v>35</v>
      </c>
      <c r="E390" s="1" t="s">
        <v>31</v>
      </c>
      <c r="F390" s="1">
        <v>297</v>
      </c>
      <c r="G390" s="1">
        <v>153</v>
      </c>
      <c r="H390" s="1" t="s">
        <v>48</v>
      </c>
      <c r="I390" s="1" t="s">
        <v>16</v>
      </c>
      <c r="J390" s="1" t="s">
        <v>17</v>
      </c>
      <c r="K390" s="1">
        <v>66.73</v>
      </c>
      <c r="L390" s="1">
        <v>47.74</v>
      </c>
    </row>
    <row r="391" spans="1:12" ht="15.6" x14ac:dyDescent="0.3">
      <c r="A391" s="1" t="s">
        <v>427</v>
      </c>
      <c r="B391" s="1">
        <v>27</v>
      </c>
      <c r="C391" s="1" t="s">
        <v>26</v>
      </c>
      <c r="D391" s="1" t="s">
        <v>35</v>
      </c>
      <c r="E391" s="1" t="s">
        <v>36</v>
      </c>
      <c r="F391" s="1">
        <v>402</v>
      </c>
      <c r="G391" s="1">
        <v>341</v>
      </c>
      <c r="H391" s="1" t="s">
        <v>15</v>
      </c>
      <c r="I391" s="1" t="s">
        <v>23</v>
      </c>
      <c r="J391" s="1" t="s">
        <v>38</v>
      </c>
      <c r="K391" s="1">
        <v>31.33</v>
      </c>
      <c r="L391" s="1">
        <v>58.61</v>
      </c>
    </row>
    <row r="392" spans="1:12" ht="15.6" x14ac:dyDescent="0.3">
      <c r="A392" s="1" t="s">
        <v>428</v>
      </c>
      <c r="B392" s="1">
        <v>43</v>
      </c>
      <c r="C392" s="1" t="s">
        <v>19</v>
      </c>
      <c r="D392" s="1" t="s">
        <v>50</v>
      </c>
      <c r="E392" s="1" t="s">
        <v>2</v>
      </c>
      <c r="F392" s="1">
        <v>444</v>
      </c>
      <c r="G392" s="1">
        <v>20</v>
      </c>
      <c r="H392" s="1" t="s">
        <v>32</v>
      </c>
      <c r="I392" s="1" t="s">
        <v>16</v>
      </c>
      <c r="J392" s="1" t="s">
        <v>38</v>
      </c>
      <c r="K392" s="1">
        <v>85.34</v>
      </c>
      <c r="L392" s="1">
        <v>34.08</v>
      </c>
    </row>
    <row r="393" spans="1:12" ht="15.6" x14ac:dyDescent="0.3">
      <c r="A393" s="1" t="s">
        <v>429</v>
      </c>
      <c r="B393" s="1">
        <v>15</v>
      </c>
      <c r="C393" s="1" t="s">
        <v>19</v>
      </c>
      <c r="D393" s="1" t="s">
        <v>35</v>
      </c>
      <c r="E393" s="1" t="s">
        <v>45</v>
      </c>
      <c r="F393" s="1">
        <v>263</v>
      </c>
      <c r="G393" s="1">
        <v>55</v>
      </c>
      <c r="H393" s="1" t="s">
        <v>48</v>
      </c>
      <c r="I393" s="1" t="s">
        <v>23</v>
      </c>
      <c r="J393" s="1" t="s">
        <v>38</v>
      </c>
      <c r="K393" s="1">
        <v>51.89</v>
      </c>
      <c r="L393" s="1">
        <v>62.46</v>
      </c>
    </row>
    <row r="394" spans="1:12" ht="15.6" x14ac:dyDescent="0.3">
      <c r="A394" s="1" t="s">
        <v>430</v>
      </c>
      <c r="B394" s="1">
        <v>24</v>
      </c>
      <c r="C394" s="1" t="s">
        <v>13</v>
      </c>
      <c r="D394" s="1" t="s">
        <v>50</v>
      </c>
      <c r="E394" s="1" t="s">
        <v>40</v>
      </c>
      <c r="F394" s="1">
        <v>264</v>
      </c>
      <c r="G394" s="1">
        <v>163</v>
      </c>
      <c r="H394" s="1" t="s">
        <v>15</v>
      </c>
      <c r="I394" s="1" t="s">
        <v>16</v>
      </c>
      <c r="J394" s="1" t="s">
        <v>38</v>
      </c>
      <c r="K394" s="1">
        <v>54.82</v>
      </c>
      <c r="L394" s="1">
        <v>73.67</v>
      </c>
    </row>
    <row r="395" spans="1:12" ht="15.6" x14ac:dyDescent="0.3">
      <c r="A395" s="1" t="s">
        <v>431</v>
      </c>
      <c r="B395" s="1">
        <v>14</v>
      </c>
      <c r="C395" s="1" t="s">
        <v>13</v>
      </c>
      <c r="D395" s="1" t="s">
        <v>14</v>
      </c>
      <c r="E395" s="1" t="s">
        <v>2</v>
      </c>
      <c r="F395" s="1">
        <v>92</v>
      </c>
      <c r="G395" s="1">
        <v>226</v>
      </c>
      <c r="H395" s="1" t="s">
        <v>48</v>
      </c>
      <c r="I395" s="1" t="s">
        <v>16</v>
      </c>
      <c r="J395" s="1" t="s">
        <v>17</v>
      </c>
      <c r="K395" s="1">
        <v>23.79</v>
      </c>
      <c r="L395" s="1">
        <v>7.11</v>
      </c>
    </row>
    <row r="396" spans="1:12" ht="15.6" x14ac:dyDescent="0.3">
      <c r="A396" s="1" t="s">
        <v>432</v>
      </c>
      <c r="B396" s="1">
        <v>30</v>
      </c>
      <c r="C396" s="1" t="s">
        <v>19</v>
      </c>
      <c r="D396" s="1" t="s">
        <v>30</v>
      </c>
      <c r="E396" s="1" t="s">
        <v>36</v>
      </c>
      <c r="F396" s="1">
        <v>223</v>
      </c>
      <c r="G396" s="1">
        <v>262</v>
      </c>
      <c r="H396" s="1" t="s">
        <v>37</v>
      </c>
      <c r="I396" s="1" t="s">
        <v>16</v>
      </c>
      <c r="J396" s="1" t="s">
        <v>24</v>
      </c>
      <c r="K396" s="1">
        <v>46.23</v>
      </c>
      <c r="L396" s="1">
        <v>54.83</v>
      </c>
    </row>
    <row r="397" spans="1:12" ht="15.6" x14ac:dyDescent="0.3">
      <c r="A397" s="1" t="s">
        <v>433</v>
      </c>
      <c r="B397" s="1">
        <v>26</v>
      </c>
      <c r="C397" s="1" t="s">
        <v>13</v>
      </c>
      <c r="D397" s="1" t="s">
        <v>50</v>
      </c>
      <c r="E397" s="1" t="s">
        <v>45</v>
      </c>
      <c r="F397" s="1">
        <v>188</v>
      </c>
      <c r="G397" s="1">
        <v>320</v>
      </c>
      <c r="H397" s="1" t="s">
        <v>22</v>
      </c>
      <c r="I397" s="1" t="s">
        <v>23</v>
      </c>
      <c r="J397" s="1" t="s">
        <v>24</v>
      </c>
      <c r="K397" s="1">
        <v>88.65</v>
      </c>
      <c r="L397" s="1">
        <v>20.350000000000001</v>
      </c>
    </row>
    <row r="398" spans="1:12" ht="15.6" x14ac:dyDescent="0.3">
      <c r="A398" s="1" t="s">
        <v>434</v>
      </c>
      <c r="B398" s="1">
        <v>25</v>
      </c>
      <c r="C398" s="1" t="s">
        <v>19</v>
      </c>
      <c r="D398" s="1" t="s">
        <v>27</v>
      </c>
      <c r="E398" s="1" t="s">
        <v>45</v>
      </c>
      <c r="F398" s="1">
        <v>525</v>
      </c>
      <c r="G398" s="1">
        <v>193</v>
      </c>
      <c r="H398" s="1" t="s">
        <v>32</v>
      </c>
      <c r="I398" s="1" t="s">
        <v>23</v>
      </c>
      <c r="J398" s="1" t="s">
        <v>38</v>
      </c>
      <c r="K398" s="1">
        <v>80.92</v>
      </c>
      <c r="L398" s="1">
        <v>29.79</v>
      </c>
    </row>
    <row r="399" spans="1:12" ht="15.6" x14ac:dyDescent="0.3">
      <c r="A399" s="1" t="s">
        <v>435</v>
      </c>
      <c r="B399" s="1">
        <v>45</v>
      </c>
      <c r="C399" s="1" t="s">
        <v>13</v>
      </c>
      <c r="D399" s="1" t="s">
        <v>27</v>
      </c>
      <c r="E399" s="1" t="s">
        <v>21</v>
      </c>
      <c r="F399" s="1">
        <v>342</v>
      </c>
      <c r="G399" s="1">
        <v>199</v>
      </c>
      <c r="H399" s="1" t="s">
        <v>48</v>
      </c>
      <c r="I399" s="1" t="s">
        <v>23</v>
      </c>
      <c r="J399" s="1" t="s">
        <v>38</v>
      </c>
      <c r="K399" s="1">
        <v>87.27</v>
      </c>
      <c r="L399" s="1">
        <v>37.46</v>
      </c>
    </row>
    <row r="400" spans="1:12" ht="15.6" x14ac:dyDescent="0.3">
      <c r="A400" s="1" t="s">
        <v>436</v>
      </c>
      <c r="B400" s="1">
        <v>51</v>
      </c>
      <c r="C400" s="1" t="s">
        <v>13</v>
      </c>
      <c r="D400" s="1" t="s">
        <v>50</v>
      </c>
      <c r="E400" s="1" t="s">
        <v>21</v>
      </c>
      <c r="F400" s="1">
        <v>89</v>
      </c>
      <c r="G400" s="1">
        <v>156</v>
      </c>
      <c r="H400" s="1" t="s">
        <v>22</v>
      </c>
      <c r="I400" s="1" t="s">
        <v>23</v>
      </c>
      <c r="J400" s="1" t="s">
        <v>38</v>
      </c>
      <c r="K400" s="1">
        <v>74.25</v>
      </c>
      <c r="L400" s="1">
        <v>25.44</v>
      </c>
    </row>
    <row r="401" spans="1:12" ht="15.6" x14ac:dyDescent="0.3">
      <c r="A401" s="1" t="s">
        <v>437</v>
      </c>
      <c r="B401" s="1">
        <v>49</v>
      </c>
      <c r="C401" s="1" t="s">
        <v>29</v>
      </c>
      <c r="D401" s="1" t="s">
        <v>14</v>
      </c>
      <c r="E401" s="1" t="s">
        <v>45</v>
      </c>
      <c r="F401" s="1">
        <v>569</v>
      </c>
      <c r="G401" s="1">
        <v>178</v>
      </c>
      <c r="H401" s="1" t="s">
        <v>48</v>
      </c>
      <c r="I401" s="1" t="s">
        <v>23</v>
      </c>
      <c r="J401" s="1" t="s">
        <v>24</v>
      </c>
      <c r="K401" s="1">
        <v>46.31</v>
      </c>
      <c r="L401" s="1">
        <v>16.510000000000002</v>
      </c>
    </row>
    <row r="402" spans="1:12" ht="15.6" x14ac:dyDescent="0.3">
      <c r="A402" s="1" t="s">
        <v>438</v>
      </c>
      <c r="B402" s="1">
        <v>16</v>
      </c>
      <c r="C402" s="1" t="s">
        <v>26</v>
      </c>
      <c r="D402" s="1" t="s">
        <v>35</v>
      </c>
      <c r="E402" s="1" t="s">
        <v>40</v>
      </c>
      <c r="F402" s="1">
        <v>316</v>
      </c>
      <c r="G402" s="1">
        <v>73</v>
      </c>
      <c r="H402" s="1" t="s">
        <v>48</v>
      </c>
      <c r="I402" s="1" t="s">
        <v>16</v>
      </c>
      <c r="J402" s="1" t="s">
        <v>17</v>
      </c>
      <c r="K402" s="1">
        <v>21.46</v>
      </c>
      <c r="L402" s="1">
        <v>65.930000000000007</v>
      </c>
    </row>
    <row r="403" spans="1:12" ht="15.6" x14ac:dyDescent="0.3">
      <c r="A403" s="1" t="s">
        <v>439</v>
      </c>
      <c r="B403" s="1">
        <v>41</v>
      </c>
      <c r="C403" s="1" t="s">
        <v>34</v>
      </c>
      <c r="D403" s="1" t="s">
        <v>50</v>
      </c>
      <c r="E403" s="1" t="s">
        <v>45</v>
      </c>
      <c r="F403" s="1">
        <v>538</v>
      </c>
      <c r="G403" s="1">
        <v>108</v>
      </c>
      <c r="H403" s="1" t="s">
        <v>48</v>
      </c>
      <c r="I403" s="1" t="s">
        <v>23</v>
      </c>
      <c r="J403" s="1" t="s">
        <v>17</v>
      </c>
      <c r="K403" s="1">
        <v>49.17</v>
      </c>
      <c r="L403" s="1">
        <v>13.63</v>
      </c>
    </row>
    <row r="404" spans="1:12" ht="15.6" x14ac:dyDescent="0.3">
      <c r="A404" s="1" t="s">
        <v>440</v>
      </c>
      <c r="B404" s="1">
        <v>47</v>
      </c>
      <c r="C404" s="1" t="s">
        <v>13</v>
      </c>
      <c r="D404" s="1" t="s">
        <v>35</v>
      </c>
      <c r="E404" s="1" t="s">
        <v>36</v>
      </c>
      <c r="F404" s="1">
        <v>299</v>
      </c>
      <c r="G404" s="1">
        <v>392</v>
      </c>
      <c r="H404" s="1" t="s">
        <v>32</v>
      </c>
      <c r="I404" s="1" t="s">
        <v>23</v>
      </c>
      <c r="J404" s="1" t="s">
        <v>17</v>
      </c>
      <c r="K404" s="1">
        <v>64.239999999999995</v>
      </c>
      <c r="L404" s="1">
        <v>64.53</v>
      </c>
    </row>
    <row r="405" spans="1:12" ht="15.6" x14ac:dyDescent="0.3">
      <c r="A405" s="1" t="s">
        <v>441</v>
      </c>
      <c r="B405" s="1">
        <v>36</v>
      </c>
      <c r="C405" s="1" t="s">
        <v>34</v>
      </c>
      <c r="D405" s="1" t="s">
        <v>27</v>
      </c>
      <c r="E405" s="1" t="s">
        <v>31</v>
      </c>
      <c r="F405" s="1">
        <v>365</v>
      </c>
      <c r="G405" s="1">
        <v>55</v>
      </c>
      <c r="H405" s="1" t="s">
        <v>37</v>
      </c>
      <c r="I405" s="1" t="s">
        <v>23</v>
      </c>
      <c r="J405" s="1" t="s">
        <v>38</v>
      </c>
      <c r="K405" s="1">
        <v>30.26</v>
      </c>
      <c r="L405" s="1">
        <v>67.489999999999995</v>
      </c>
    </row>
    <row r="406" spans="1:12" ht="15.6" x14ac:dyDescent="0.3">
      <c r="A406" s="1" t="s">
        <v>442</v>
      </c>
      <c r="B406" s="1">
        <v>13</v>
      </c>
      <c r="C406" s="1" t="s">
        <v>34</v>
      </c>
      <c r="D406" s="1" t="s">
        <v>30</v>
      </c>
      <c r="E406" s="1" t="s">
        <v>36</v>
      </c>
      <c r="F406" s="1">
        <v>129</v>
      </c>
      <c r="G406" s="1">
        <v>384</v>
      </c>
      <c r="H406" s="1" t="s">
        <v>37</v>
      </c>
      <c r="I406" s="1" t="s">
        <v>23</v>
      </c>
      <c r="J406" s="1" t="s">
        <v>24</v>
      </c>
      <c r="K406" s="1">
        <v>46.87</v>
      </c>
      <c r="L406" s="1">
        <v>32.72</v>
      </c>
    </row>
    <row r="407" spans="1:12" ht="15.6" x14ac:dyDescent="0.3">
      <c r="A407" s="1" t="s">
        <v>443</v>
      </c>
      <c r="B407" s="1">
        <v>48</v>
      </c>
      <c r="C407" s="1" t="s">
        <v>19</v>
      </c>
      <c r="D407" s="1" t="s">
        <v>50</v>
      </c>
      <c r="E407" s="1" t="s">
        <v>31</v>
      </c>
      <c r="F407" s="1">
        <v>333</v>
      </c>
      <c r="G407" s="1">
        <v>379</v>
      </c>
      <c r="H407" s="1" t="s">
        <v>37</v>
      </c>
      <c r="I407" s="1" t="s">
        <v>23</v>
      </c>
      <c r="J407" s="1" t="s">
        <v>38</v>
      </c>
      <c r="K407" s="1">
        <v>87.63</v>
      </c>
      <c r="L407" s="1">
        <v>35.01</v>
      </c>
    </row>
    <row r="408" spans="1:12" ht="15.6" x14ac:dyDescent="0.3">
      <c r="A408" s="1" t="s">
        <v>444</v>
      </c>
      <c r="B408" s="1">
        <v>22</v>
      </c>
      <c r="C408" s="1" t="s">
        <v>26</v>
      </c>
      <c r="D408" s="1" t="s">
        <v>20</v>
      </c>
      <c r="E408" s="1" t="s">
        <v>45</v>
      </c>
      <c r="F408" s="1">
        <v>316</v>
      </c>
      <c r="G408" s="1">
        <v>441</v>
      </c>
      <c r="H408" s="1" t="s">
        <v>37</v>
      </c>
      <c r="I408" s="1" t="s">
        <v>23</v>
      </c>
      <c r="J408" s="1" t="s">
        <v>17</v>
      </c>
      <c r="K408" s="1">
        <v>81.33</v>
      </c>
      <c r="L408" s="1">
        <v>18.59</v>
      </c>
    </row>
    <row r="409" spans="1:12" ht="15.6" x14ac:dyDescent="0.3">
      <c r="A409" s="1" t="s">
        <v>445</v>
      </c>
      <c r="B409" s="1">
        <v>32</v>
      </c>
      <c r="C409" s="1" t="s">
        <v>19</v>
      </c>
      <c r="D409" s="1" t="s">
        <v>30</v>
      </c>
      <c r="E409" s="1" t="s">
        <v>40</v>
      </c>
      <c r="F409" s="1">
        <v>470</v>
      </c>
      <c r="G409" s="1">
        <v>211</v>
      </c>
      <c r="H409" s="1" t="s">
        <v>37</v>
      </c>
      <c r="I409" s="1" t="s">
        <v>23</v>
      </c>
      <c r="J409" s="1" t="s">
        <v>24</v>
      </c>
      <c r="K409" s="1">
        <v>57.14</v>
      </c>
      <c r="L409" s="1">
        <v>40.58</v>
      </c>
    </row>
    <row r="410" spans="1:12" ht="15.6" x14ac:dyDescent="0.3">
      <c r="A410" s="1" t="s">
        <v>446</v>
      </c>
      <c r="B410" s="1">
        <v>19</v>
      </c>
      <c r="C410" s="1" t="s">
        <v>34</v>
      </c>
      <c r="D410" s="1" t="s">
        <v>50</v>
      </c>
      <c r="E410" s="1" t="s">
        <v>45</v>
      </c>
      <c r="F410" s="1">
        <v>564</v>
      </c>
      <c r="G410" s="1">
        <v>197</v>
      </c>
      <c r="H410" s="1" t="s">
        <v>15</v>
      </c>
      <c r="I410" s="1" t="s">
        <v>16</v>
      </c>
      <c r="J410" s="1" t="s">
        <v>17</v>
      </c>
      <c r="K410" s="1">
        <v>56.19</v>
      </c>
      <c r="L410" s="1">
        <v>35.65</v>
      </c>
    </row>
    <row r="411" spans="1:12" ht="15.6" x14ac:dyDescent="0.3">
      <c r="A411" s="1" t="s">
        <v>447</v>
      </c>
      <c r="B411" s="1">
        <v>38</v>
      </c>
      <c r="C411" s="1" t="s">
        <v>29</v>
      </c>
      <c r="D411" s="1" t="s">
        <v>20</v>
      </c>
      <c r="E411" s="1" t="s">
        <v>21</v>
      </c>
      <c r="F411" s="1">
        <v>141</v>
      </c>
      <c r="G411" s="1">
        <v>432</v>
      </c>
      <c r="H411" s="1" t="s">
        <v>48</v>
      </c>
      <c r="I411" s="1" t="s">
        <v>23</v>
      </c>
      <c r="J411" s="1" t="s">
        <v>17</v>
      </c>
      <c r="K411" s="1">
        <v>56.73</v>
      </c>
      <c r="L411" s="1">
        <v>8.3000000000000007</v>
      </c>
    </row>
    <row r="412" spans="1:12" ht="15.6" x14ac:dyDescent="0.3">
      <c r="A412" s="1" t="s">
        <v>448</v>
      </c>
      <c r="B412" s="1">
        <v>29</v>
      </c>
      <c r="C412" s="1" t="s">
        <v>26</v>
      </c>
      <c r="D412" s="1" t="s">
        <v>35</v>
      </c>
      <c r="E412" s="1" t="s">
        <v>21</v>
      </c>
      <c r="F412" s="1">
        <v>484</v>
      </c>
      <c r="G412" s="1">
        <v>109</v>
      </c>
      <c r="H412" s="1" t="s">
        <v>32</v>
      </c>
      <c r="I412" s="1" t="s">
        <v>23</v>
      </c>
      <c r="J412" s="1" t="s">
        <v>38</v>
      </c>
      <c r="K412" s="1">
        <v>62.72</v>
      </c>
      <c r="L412" s="1">
        <v>55.65</v>
      </c>
    </row>
    <row r="413" spans="1:12" ht="15.6" x14ac:dyDescent="0.3">
      <c r="A413" s="1" t="s">
        <v>449</v>
      </c>
      <c r="B413" s="1">
        <v>52</v>
      </c>
      <c r="C413" s="1" t="s">
        <v>34</v>
      </c>
      <c r="D413" s="1" t="s">
        <v>35</v>
      </c>
      <c r="E413" s="1" t="s">
        <v>36</v>
      </c>
      <c r="F413" s="1">
        <v>54</v>
      </c>
      <c r="G413" s="1">
        <v>324</v>
      </c>
      <c r="H413" s="1" t="s">
        <v>48</v>
      </c>
      <c r="I413" s="1" t="s">
        <v>16</v>
      </c>
      <c r="J413" s="1" t="s">
        <v>24</v>
      </c>
      <c r="K413" s="1">
        <v>19.66</v>
      </c>
      <c r="L413" s="1">
        <v>58.54</v>
      </c>
    </row>
    <row r="414" spans="1:12" ht="15.6" x14ac:dyDescent="0.3">
      <c r="A414" s="1" t="s">
        <v>450</v>
      </c>
      <c r="B414" s="1">
        <v>49</v>
      </c>
      <c r="C414" s="1" t="s">
        <v>13</v>
      </c>
      <c r="D414" s="1" t="s">
        <v>14</v>
      </c>
      <c r="E414" s="1" t="s">
        <v>21</v>
      </c>
      <c r="F414" s="1">
        <v>498</v>
      </c>
      <c r="G414" s="1">
        <v>78</v>
      </c>
      <c r="H414" s="1" t="s">
        <v>37</v>
      </c>
      <c r="I414" s="1" t="s">
        <v>16</v>
      </c>
      <c r="J414" s="1" t="s">
        <v>17</v>
      </c>
      <c r="K414" s="1">
        <v>88.11</v>
      </c>
      <c r="L414" s="1">
        <v>35.880000000000003</v>
      </c>
    </row>
    <row r="415" spans="1:12" ht="15.6" x14ac:dyDescent="0.3">
      <c r="A415" s="1" t="s">
        <v>451</v>
      </c>
      <c r="B415" s="1">
        <v>53</v>
      </c>
      <c r="C415" s="1" t="s">
        <v>29</v>
      </c>
      <c r="D415" s="1" t="s">
        <v>30</v>
      </c>
      <c r="E415" s="1" t="s">
        <v>36</v>
      </c>
      <c r="F415" s="1">
        <v>105</v>
      </c>
      <c r="G415" s="1">
        <v>326</v>
      </c>
      <c r="H415" s="1" t="s">
        <v>32</v>
      </c>
      <c r="I415" s="1" t="s">
        <v>23</v>
      </c>
      <c r="J415" s="1" t="s">
        <v>17</v>
      </c>
      <c r="K415" s="1">
        <v>52.71</v>
      </c>
      <c r="L415" s="1">
        <v>74.03</v>
      </c>
    </row>
    <row r="416" spans="1:12" ht="15.6" x14ac:dyDescent="0.3">
      <c r="A416" s="1" t="s">
        <v>452</v>
      </c>
      <c r="B416" s="1">
        <v>51</v>
      </c>
      <c r="C416" s="1" t="s">
        <v>13</v>
      </c>
      <c r="D416" s="1" t="s">
        <v>30</v>
      </c>
      <c r="E416" s="1" t="s">
        <v>31</v>
      </c>
      <c r="F416" s="1">
        <v>414</v>
      </c>
      <c r="G416" s="1">
        <v>176</v>
      </c>
      <c r="H416" s="1" t="s">
        <v>48</v>
      </c>
      <c r="I416" s="1" t="s">
        <v>23</v>
      </c>
      <c r="J416" s="1" t="s">
        <v>38</v>
      </c>
      <c r="K416" s="1">
        <v>66.06</v>
      </c>
      <c r="L416" s="1">
        <v>68.150000000000006</v>
      </c>
    </row>
    <row r="417" spans="1:12" ht="15.6" x14ac:dyDescent="0.3">
      <c r="A417" s="1" t="s">
        <v>453</v>
      </c>
      <c r="B417" s="1">
        <v>58</v>
      </c>
      <c r="C417" s="1" t="s">
        <v>26</v>
      </c>
      <c r="D417" s="1" t="s">
        <v>35</v>
      </c>
      <c r="E417" s="1" t="s">
        <v>36</v>
      </c>
      <c r="F417" s="1">
        <v>131</v>
      </c>
      <c r="G417" s="1">
        <v>366</v>
      </c>
      <c r="H417" s="1" t="s">
        <v>15</v>
      </c>
      <c r="I417" s="1" t="s">
        <v>16</v>
      </c>
      <c r="J417" s="1" t="s">
        <v>38</v>
      </c>
      <c r="K417" s="1">
        <v>39.729999999999997</v>
      </c>
      <c r="L417" s="1">
        <v>33.840000000000003</v>
      </c>
    </row>
    <row r="418" spans="1:12" ht="15.6" x14ac:dyDescent="0.3">
      <c r="A418" s="1" t="s">
        <v>454</v>
      </c>
      <c r="B418" s="1">
        <v>28</v>
      </c>
      <c r="C418" s="1" t="s">
        <v>13</v>
      </c>
      <c r="D418" s="1" t="s">
        <v>50</v>
      </c>
      <c r="E418" s="1" t="s">
        <v>36</v>
      </c>
      <c r="F418" s="1">
        <v>149</v>
      </c>
      <c r="G418" s="1">
        <v>314</v>
      </c>
      <c r="H418" s="1" t="s">
        <v>32</v>
      </c>
      <c r="I418" s="1" t="s">
        <v>23</v>
      </c>
      <c r="J418" s="1" t="s">
        <v>38</v>
      </c>
      <c r="K418" s="1">
        <v>15.72</v>
      </c>
      <c r="L418" s="1">
        <v>22.7</v>
      </c>
    </row>
    <row r="419" spans="1:12" ht="15.6" x14ac:dyDescent="0.3">
      <c r="A419" s="1" t="s">
        <v>455</v>
      </c>
      <c r="B419" s="1">
        <v>29</v>
      </c>
      <c r="C419" s="1" t="s">
        <v>19</v>
      </c>
      <c r="D419" s="1" t="s">
        <v>50</v>
      </c>
      <c r="E419" s="1" t="s">
        <v>2</v>
      </c>
      <c r="F419" s="1">
        <v>33</v>
      </c>
      <c r="G419" s="1">
        <v>354</v>
      </c>
      <c r="H419" s="1" t="s">
        <v>15</v>
      </c>
      <c r="I419" s="1" t="s">
        <v>16</v>
      </c>
      <c r="J419" s="1" t="s">
        <v>24</v>
      </c>
      <c r="K419" s="1">
        <v>14.05</v>
      </c>
      <c r="L419" s="1">
        <v>31.89</v>
      </c>
    </row>
    <row r="420" spans="1:12" ht="15.6" x14ac:dyDescent="0.3">
      <c r="A420" s="1" t="s">
        <v>456</v>
      </c>
      <c r="B420" s="1">
        <v>51</v>
      </c>
      <c r="C420" s="1" t="s">
        <v>26</v>
      </c>
      <c r="D420" s="1" t="s">
        <v>14</v>
      </c>
      <c r="E420" s="1" t="s">
        <v>36</v>
      </c>
      <c r="F420" s="1">
        <v>514</v>
      </c>
      <c r="G420" s="1">
        <v>46</v>
      </c>
      <c r="H420" s="1" t="s">
        <v>32</v>
      </c>
      <c r="I420" s="1" t="s">
        <v>16</v>
      </c>
      <c r="J420" s="1" t="s">
        <v>24</v>
      </c>
      <c r="K420" s="1">
        <v>43.44</v>
      </c>
      <c r="L420" s="1">
        <v>48.22</v>
      </c>
    </row>
    <row r="421" spans="1:12" ht="15.6" x14ac:dyDescent="0.3">
      <c r="A421" s="1" t="s">
        <v>457</v>
      </c>
      <c r="B421" s="1">
        <v>14</v>
      </c>
      <c r="C421" s="1" t="s">
        <v>34</v>
      </c>
      <c r="D421" s="1" t="s">
        <v>30</v>
      </c>
      <c r="E421" s="1" t="s">
        <v>21</v>
      </c>
      <c r="F421" s="1">
        <v>537</v>
      </c>
      <c r="G421" s="1">
        <v>337</v>
      </c>
      <c r="H421" s="1" t="s">
        <v>22</v>
      </c>
      <c r="I421" s="1" t="s">
        <v>23</v>
      </c>
      <c r="J421" s="1" t="s">
        <v>17</v>
      </c>
      <c r="K421" s="1">
        <v>62.16</v>
      </c>
      <c r="L421" s="1">
        <v>79.25</v>
      </c>
    </row>
    <row r="422" spans="1:12" ht="15.6" x14ac:dyDescent="0.3">
      <c r="A422" s="1" t="s">
        <v>458</v>
      </c>
      <c r="B422" s="1">
        <v>56</v>
      </c>
      <c r="C422" s="1" t="s">
        <v>26</v>
      </c>
      <c r="D422" s="1" t="s">
        <v>20</v>
      </c>
      <c r="E422" s="1" t="s">
        <v>21</v>
      </c>
      <c r="F422" s="1">
        <v>254</v>
      </c>
      <c r="G422" s="1">
        <v>467</v>
      </c>
      <c r="H422" s="1" t="s">
        <v>48</v>
      </c>
      <c r="I422" s="1" t="s">
        <v>16</v>
      </c>
      <c r="J422" s="1" t="s">
        <v>17</v>
      </c>
      <c r="K422" s="1">
        <v>26.67</v>
      </c>
      <c r="L422" s="1">
        <v>31.23</v>
      </c>
    </row>
    <row r="423" spans="1:12" ht="15.6" x14ac:dyDescent="0.3">
      <c r="A423" s="1" t="s">
        <v>459</v>
      </c>
      <c r="B423" s="1">
        <v>26</v>
      </c>
      <c r="C423" s="1" t="s">
        <v>34</v>
      </c>
      <c r="D423" s="1" t="s">
        <v>30</v>
      </c>
      <c r="E423" s="1" t="s">
        <v>31</v>
      </c>
      <c r="F423" s="1">
        <v>500</v>
      </c>
      <c r="G423" s="1">
        <v>418</v>
      </c>
      <c r="H423" s="1" t="s">
        <v>48</v>
      </c>
      <c r="I423" s="1" t="s">
        <v>23</v>
      </c>
      <c r="J423" s="1" t="s">
        <v>38</v>
      </c>
      <c r="K423" s="1">
        <v>46.72</v>
      </c>
      <c r="L423" s="1">
        <v>13.31</v>
      </c>
    </row>
    <row r="424" spans="1:12" ht="15.6" x14ac:dyDescent="0.3">
      <c r="A424" s="1" t="s">
        <v>460</v>
      </c>
      <c r="B424" s="1">
        <v>35</v>
      </c>
      <c r="C424" s="1" t="s">
        <v>13</v>
      </c>
      <c r="D424" s="1" t="s">
        <v>27</v>
      </c>
      <c r="E424" s="1" t="s">
        <v>36</v>
      </c>
      <c r="F424" s="1">
        <v>101</v>
      </c>
      <c r="G424" s="1">
        <v>327</v>
      </c>
      <c r="H424" s="1" t="s">
        <v>15</v>
      </c>
      <c r="I424" s="1" t="s">
        <v>16</v>
      </c>
      <c r="J424" s="1" t="s">
        <v>38</v>
      </c>
      <c r="K424" s="1">
        <v>78.31</v>
      </c>
      <c r="L424" s="1">
        <v>22.41</v>
      </c>
    </row>
    <row r="425" spans="1:12" ht="15.6" x14ac:dyDescent="0.3">
      <c r="A425" s="1" t="s">
        <v>461</v>
      </c>
      <c r="B425" s="1">
        <v>46</v>
      </c>
      <c r="C425" s="1" t="s">
        <v>34</v>
      </c>
      <c r="D425" s="1" t="s">
        <v>30</v>
      </c>
      <c r="E425" s="1" t="s">
        <v>31</v>
      </c>
      <c r="F425" s="1">
        <v>435</v>
      </c>
      <c r="G425" s="1">
        <v>69</v>
      </c>
      <c r="H425" s="1" t="s">
        <v>48</v>
      </c>
      <c r="I425" s="1" t="s">
        <v>23</v>
      </c>
      <c r="J425" s="1" t="s">
        <v>17</v>
      </c>
      <c r="K425" s="1">
        <v>85.2</v>
      </c>
      <c r="L425" s="1">
        <v>72.459999999999994</v>
      </c>
    </row>
    <row r="426" spans="1:12" ht="15.6" x14ac:dyDescent="0.3">
      <c r="A426" s="1" t="s">
        <v>462</v>
      </c>
      <c r="B426" s="1">
        <v>35</v>
      </c>
      <c r="C426" s="1" t="s">
        <v>26</v>
      </c>
      <c r="D426" s="1" t="s">
        <v>35</v>
      </c>
      <c r="E426" s="1" t="s">
        <v>36</v>
      </c>
      <c r="F426" s="1">
        <v>67</v>
      </c>
      <c r="G426" s="1">
        <v>246</v>
      </c>
      <c r="H426" s="1" t="s">
        <v>32</v>
      </c>
      <c r="I426" s="1" t="s">
        <v>23</v>
      </c>
      <c r="J426" s="1" t="s">
        <v>38</v>
      </c>
      <c r="K426" s="1">
        <v>21</v>
      </c>
      <c r="L426" s="1">
        <v>26.15</v>
      </c>
    </row>
    <row r="427" spans="1:12" ht="15.6" x14ac:dyDescent="0.3">
      <c r="A427" s="1" t="s">
        <v>463</v>
      </c>
      <c r="B427" s="1">
        <v>17</v>
      </c>
      <c r="C427" s="1" t="s">
        <v>13</v>
      </c>
      <c r="D427" s="1" t="s">
        <v>30</v>
      </c>
      <c r="E427" s="1" t="s">
        <v>31</v>
      </c>
      <c r="F427" s="1">
        <v>29</v>
      </c>
      <c r="G427" s="1">
        <v>289</v>
      </c>
      <c r="H427" s="1" t="s">
        <v>15</v>
      </c>
      <c r="I427" s="1" t="s">
        <v>16</v>
      </c>
      <c r="J427" s="1" t="s">
        <v>24</v>
      </c>
      <c r="K427" s="1">
        <v>54.73</v>
      </c>
      <c r="L427" s="1">
        <v>58.57</v>
      </c>
    </row>
    <row r="428" spans="1:12" ht="15.6" x14ac:dyDescent="0.3">
      <c r="A428" s="1" t="s">
        <v>464</v>
      </c>
      <c r="B428" s="1">
        <v>19</v>
      </c>
      <c r="C428" s="1" t="s">
        <v>34</v>
      </c>
      <c r="D428" s="1" t="s">
        <v>30</v>
      </c>
      <c r="E428" s="1" t="s">
        <v>40</v>
      </c>
      <c r="F428" s="1">
        <v>199</v>
      </c>
      <c r="G428" s="1">
        <v>439</v>
      </c>
      <c r="H428" s="1" t="s">
        <v>48</v>
      </c>
      <c r="I428" s="1" t="s">
        <v>16</v>
      </c>
      <c r="J428" s="1" t="s">
        <v>24</v>
      </c>
      <c r="K428" s="1">
        <v>49.46</v>
      </c>
      <c r="L428" s="1">
        <v>73.849999999999994</v>
      </c>
    </row>
    <row r="429" spans="1:12" ht="15.6" x14ac:dyDescent="0.3">
      <c r="A429" s="1" t="s">
        <v>465</v>
      </c>
      <c r="B429" s="1">
        <v>14</v>
      </c>
      <c r="C429" s="1" t="s">
        <v>29</v>
      </c>
      <c r="D429" s="1" t="s">
        <v>35</v>
      </c>
      <c r="E429" s="1" t="s">
        <v>31</v>
      </c>
      <c r="F429" s="1">
        <v>124</v>
      </c>
      <c r="G429" s="1">
        <v>127</v>
      </c>
      <c r="H429" s="1" t="s">
        <v>22</v>
      </c>
      <c r="I429" s="1" t="s">
        <v>16</v>
      </c>
      <c r="J429" s="1" t="s">
        <v>24</v>
      </c>
      <c r="K429" s="1">
        <v>57.57</v>
      </c>
      <c r="L429" s="1">
        <v>72.31</v>
      </c>
    </row>
    <row r="430" spans="1:12" ht="15.6" x14ac:dyDescent="0.3">
      <c r="A430" s="1" t="s">
        <v>466</v>
      </c>
      <c r="B430" s="1">
        <v>52</v>
      </c>
      <c r="C430" s="1" t="s">
        <v>13</v>
      </c>
      <c r="D430" s="1" t="s">
        <v>50</v>
      </c>
      <c r="E430" s="1" t="s">
        <v>21</v>
      </c>
      <c r="F430" s="1">
        <v>416</v>
      </c>
      <c r="G430" s="1">
        <v>350</v>
      </c>
      <c r="H430" s="1" t="s">
        <v>15</v>
      </c>
      <c r="I430" s="1" t="s">
        <v>16</v>
      </c>
      <c r="J430" s="1" t="s">
        <v>24</v>
      </c>
      <c r="K430" s="1">
        <v>48.71</v>
      </c>
      <c r="L430" s="1">
        <v>12.55</v>
      </c>
    </row>
    <row r="431" spans="1:12" ht="15.6" x14ac:dyDescent="0.3">
      <c r="A431" s="1" t="s">
        <v>467</v>
      </c>
      <c r="B431" s="1">
        <v>55</v>
      </c>
      <c r="C431" s="1" t="s">
        <v>26</v>
      </c>
      <c r="D431" s="1" t="s">
        <v>50</v>
      </c>
      <c r="E431" s="1" t="s">
        <v>21</v>
      </c>
      <c r="F431" s="1">
        <v>110</v>
      </c>
      <c r="G431" s="1">
        <v>126</v>
      </c>
      <c r="H431" s="1" t="s">
        <v>32</v>
      </c>
      <c r="I431" s="1" t="s">
        <v>16</v>
      </c>
      <c r="J431" s="1" t="s">
        <v>24</v>
      </c>
      <c r="K431" s="1">
        <v>20.14</v>
      </c>
      <c r="L431" s="1">
        <v>25.1</v>
      </c>
    </row>
    <row r="432" spans="1:12" ht="15.6" x14ac:dyDescent="0.3">
      <c r="A432" s="1" t="s">
        <v>468</v>
      </c>
      <c r="B432" s="1">
        <v>19</v>
      </c>
      <c r="C432" s="1" t="s">
        <v>34</v>
      </c>
      <c r="D432" s="1" t="s">
        <v>35</v>
      </c>
      <c r="E432" s="1" t="s">
        <v>21</v>
      </c>
      <c r="F432" s="1">
        <v>265</v>
      </c>
      <c r="G432" s="1">
        <v>70</v>
      </c>
      <c r="H432" s="1" t="s">
        <v>22</v>
      </c>
      <c r="I432" s="1" t="s">
        <v>16</v>
      </c>
      <c r="J432" s="1" t="s">
        <v>24</v>
      </c>
      <c r="K432" s="1">
        <v>80.739999999999995</v>
      </c>
      <c r="L432" s="1">
        <v>14.82</v>
      </c>
    </row>
    <row r="433" spans="1:12" ht="15.6" x14ac:dyDescent="0.3">
      <c r="A433" s="1" t="s">
        <v>469</v>
      </c>
      <c r="B433" s="1">
        <v>41</v>
      </c>
      <c r="C433" s="1" t="s">
        <v>29</v>
      </c>
      <c r="D433" s="1" t="s">
        <v>20</v>
      </c>
      <c r="E433" s="1" t="s">
        <v>45</v>
      </c>
      <c r="F433" s="1">
        <v>28</v>
      </c>
      <c r="G433" s="1">
        <v>32</v>
      </c>
      <c r="H433" s="1" t="s">
        <v>48</v>
      </c>
      <c r="I433" s="1" t="s">
        <v>23</v>
      </c>
      <c r="J433" s="1" t="s">
        <v>24</v>
      </c>
      <c r="K433" s="1">
        <v>13.15</v>
      </c>
      <c r="L433" s="1">
        <v>56.44</v>
      </c>
    </row>
    <row r="434" spans="1:12" ht="15.6" x14ac:dyDescent="0.3">
      <c r="A434" s="1" t="s">
        <v>470</v>
      </c>
      <c r="B434" s="1">
        <v>59</v>
      </c>
      <c r="C434" s="1" t="s">
        <v>13</v>
      </c>
      <c r="D434" s="1" t="s">
        <v>50</v>
      </c>
      <c r="E434" s="1" t="s">
        <v>21</v>
      </c>
      <c r="F434" s="1">
        <v>488</v>
      </c>
      <c r="G434" s="1">
        <v>311</v>
      </c>
      <c r="H434" s="1" t="s">
        <v>48</v>
      </c>
      <c r="I434" s="1" t="s">
        <v>16</v>
      </c>
      <c r="J434" s="1" t="s">
        <v>38</v>
      </c>
      <c r="K434" s="1">
        <v>15.42</v>
      </c>
      <c r="L434" s="1">
        <v>12.58</v>
      </c>
    </row>
    <row r="435" spans="1:12" ht="15.6" x14ac:dyDescent="0.3">
      <c r="A435" s="1" t="s">
        <v>471</v>
      </c>
      <c r="B435" s="1">
        <v>48</v>
      </c>
      <c r="C435" s="1" t="s">
        <v>13</v>
      </c>
      <c r="D435" s="1" t="s">
        <v>27</v>
      </c>
      <c r="E435" s="1" t="s">
        <v>45</v>
      </c>
      <c r="F435" s="1">
        <v>93</v>
      </c>
      <c r="G435" s="1">
        <v>418</v>
      </c>
      <c r="H435" s="1" t="s">
        <v>48</v>
      </c>
      <c r="I435" s="1" t="s">
        <v>23</v>
      </c>
      <c r="J435" s="1" t="s">
        <v>38</v>
      </c>
      <c r="K435" s="1">
        <v>75.02</v>
      </c>
      <c r="L435" s="1">
        <v>7.47</v>
      </c>
    </row>
    <row r="436" spans="1:12" ht="15.6" x14ac:dyDescent="0.3">
      <c r="A436" s="1" t="s">
        <v>472</v>
      </c>
      <c r="B436" s="1">
        <v>42</v>
      </c>
      <c r="C436" s="1" t="s">
        <v>34</v>
      </c>
      <c r="D436" s="1" t="s">
        <v>20</v>
      </c>
      <c r="E436" s="1" t="s">
        <v>31</v>
      </c>
      <c r="F436" s="1">
        <v>358</v>
      </c>
      <c r="G436" s="1">
        <v>456</v>
      </c>
      <c r="H436" s="1" t="s">
        <v>32</v>
      </c>
      <c r="I436" s="1" t="s">
        <v>23</v>
      </c>
      <c r="J436" s="1" t="s">
        <v>38</v>
      </c>
      <c r="K436" s="1">
        <v>46.76</v>
      </c>
      <c r="L436" s="1">
        <v>20.93</v>
      </c>
    </row>
    <row r="437" spans="1:12" ht="15.6" x14ac:dyDescent="0.3">
      <c r="A437" s="1" t="s">
        <v>473</v>
      </c>
      <c r="B437" s="1">
        <v>50</v>
      </c>
      <c r="C437" s="1" t="s">
        <v>13</v>
      </c>
      <c r="D437" s="1" t="s">
        <v>27</v>
      </c>
      <c r="E437" s="1" t="s">
        <v>45</v>
      </c>
      <c r="F437" s="1">
        <v>507</v>
      </c>
      <c r="G437" s="1">
        <v>24</v>
      </c>
      <c r="H437" s="1" t="s">
        <v>22</v>
      </c>
      <c r="I437" s="1" t="s">
        <v>16</v>
      </c>
      <c r="J437" s="1" t="s">
        <v>38</v>
      </c>
      <c r="K437" s="1">
        <v>84.12</v>
      </c>
      <c r="L437" s="1">
        <v>34.770000000000003</v>
      </c>
    </row>
    <row r="438" spans="1:12" ht="15.6" x14ac:dyDescent="0.3">
      <c r="A438" s="1" t="s">
        <v>474</v>
      </c>
      <c r="B438" s="1">
        <v>44</v>
      </c>
      <c r="C438" s="1" t="s">
        <v>34</v>
      </c>
      <c r="D438" s="1" t="s">
        <v>50</v>
      </c>
      <c r="E438" s="1" t="s">
        <v>21</v>
      </c>
      <c r="F438" s="1">
        <v>357</v>
      </c>
      <c r="G438" s="1">
        <v>416</v>
      </c>
      <c r="H438" s="1" t="s">
        <v>48</v>
      </c>
      <c r="I438" s="1" t="s">
        <v>23</v>
      </c>
      <c r="J438" s="1" t="s">
        <v>17</v>
      </c>
      <c r="K438" s="1">
        <v>47.1</v>
      </c>
      <c r="L438" s="1">
        <v>33.700000000000003</v>
      </c>
    </row>
    <row r="439" spans="1:12" ht="15.6" x14ac:dyDescent="0.3">
      <c r="A439" s="1" t="s">
        <v>475</v>
      </c>
      <c r="B439" s="1">
        <v>56</v>
      </c>
      <c r="C439" s="1" t="s">
        <v>29</v>
      </c>
      <c r="D439" s="1" t="s">
        <v>14</v>
      </c>
      <c r="E439" s="1" t="s">
        <v>2</v>
      </c>
      <c r="F439" s="1">
        <v>82</v>
      </c>
      <c r="G439" s="1">
        <v>8</v>
      </c>
      <c r="H439" s="1" t="s">
        <v>48</v>
      </c>
      <c r="I439" s="1" t="s">
        <v>23</v>
      </c>
      <c r="J439" s="1" t="s">
        <v>24</v>
      </c>
      <c r="K439" s="1">
        <v>88.96</v>
      </c>
      <c r="L439" s="1">
        <v>46.23</v>
      </c>
    </row>
    <row r="440" spans="1:12" ht="15.6" x14ac:dyDescent="0.3">
      <c r="A440" s="1" t="s">
        <v>476</v>
      </c>
      <c r="B440" s="1">
        <v>60</v>
      </c>
      <c r="C440" s="1" t="s">
        <v>29</v>
      </c>
      <c r="D440" s="1" t="s">
        <v>35</v>
      </c>
      <c r="E440" s="1" t="s">
        <v>45</v>
      </c>
      <c r="F440" s="1">
        <v>33</v>
      </c>
      <c r="G440" s="1">
        <v>93</v>
      </c>
      <c r="H440" s="1" t="s">
        <v>22</v>
      </c>
      <c r="I440" s="1" t="s">
        <v>16</v>
      </c>
      <c r="J440" s="1" t="s">
        <v>24</v>
      </c>
      <c r="K440" s="1">
        <v>42.02</v>
      </c>
      <c r="L440" s="1">
        <v>74.42</v>
      </c>
    </row>
    <row r="441" spans="1:12" ht="15.6" x14ac:dyDescent="0.3">
      <c r="A441" s="1" t="s">
        <v>477</v>
      </c>
      <c r="B441" s="1">
        <v>51</v>
      </c>
      <c r="C441" s="1" t="s">
        <v>26</v>
      </c>
      <c r="D441" s="1" t="s">
        <v>35</v>
      </c>
      <c r="E441" s="1" t="s">
        <v>2</v>
      </c>
      <c r="F441" s="1">
        <v>562</v>
      </c>
      <c r="G441" s="1">
        <v>384</v>
      </c>
      <c r="H441" s="1" t="s">
        <v>48</v>
      </c>
      <c r="I441" s="1" t="s">
        <v>23</v>
      </c>
      <c r="J441" s="1" t="s">
        <v>38</v>
      </c>
      <c r="K441" s="1">
        <v>25.67</v>
      </c>
      <c r="L441" s="1">
        <v>53.6</v>
      </c>
    </row>
    <row r="442" spans="1:12" ht="15.6" x14ac:dyDescent="0.3">
      <c r="A442" s="1" t="s">
        <v>478</v>
      </c>
      <c r="B442" s="1">
        <v>49</v>
      </c>
      <c r="C442" s="1" t="s">
        <v>19</v>
      </c>
      <c r="D442" s="1" t="s">
        <v>30</v>
      </c>
      <c r="E442" s="1" t="s">
        <v>21</v>
      </c>
      <c r="F442" s="1">
        <v>199</v>
      </c>
      <c r="G442" s="1">
        <v>127</v>
      </c>
      <c r="H442" s="1" t="s">
        <v>15</v>
      </c>
      <c r="I442" s="1" t="s">
        <v>23</v>
      </c>
      <c r="J442" s="1" t="s">
        <v>24</v>
      </c>
      <c r="K442" s="1">
        <v>24.54</v>
      </c>
      <c r="L442" s="1">
        <v>55.99</v>
      </c>
    </row>
    <row r="443" spans="1:12" ht="15.6" x14ac:dyDescent="0.3">
      <c r="A443" s="1" t="s">
        <v>479</v>
      </c>
      <c r="B443" s="1">
        <v>44</v>
      </c>
      <c r="C443" s="1" t="s">
        <v>19</v>
      </c>
      <c r="D443" s="1" t="s">
        <v>14</v>
      </c>
      <c r="E443" s="1" t="s">
        <v>2</v>
      </c>
      <c r="F443" s="1">
        <v>32</v>
      </c>
      <c r="G443" s="1">
        <v>318</v>
      </c>
      <c r="H443" s="1" t="s">
        <v>48</v>
      </c>
      <c r="I443" s="1" t="s">
        <v>16</v>
      </c>
      <c r="J443" s="1" t="s">
        <v>17</v>
      </c>
      <c r="K443" s="1">
        <v>17.23</v>
      </c>
      <c r="L443" s="1">
        <v>50.02</v>
      </c>
    </row>
    <row r="444" spans="1:12" ht="15.6" x14ac:dyDescent="0.3">
      <c r="A444" s="1" t="s">
        <v>480</v>
      </c>
      <c r="B444" s="1">
        <v>28</v>
      </c>
      <c r="C444" s="1" t="s">
        <v>26</v>
      </c>
      <c r="D444" s="1" t="s">
        <v>27</v>
      </c>
      <c r="E444" s="1" t="s">
        <v>31</v>
      </c>
      <c r="F444" s="1">
        <v>282</v>
      </c>
      <c r="G444" s="1">
        <v>36</v>
      </c>
      <c r="H444" s="1" t="s">
        <v>22</v>
      </c>
      <c r="I444" s="1" t="s">
        <v>23</v>
      </c>
      <c r="J444" s="1" t="s">
        <v>17</v>
      </c>
      <c r="K444" s="1">
        <v>33.44</v>
      </c>
      <c r="L444" s="1">
        <v>65.11</v>
      </c>
    </row>
    <row r="445" spans="1:12" ht="15.6" x14ac:dyDescent="0.3">
      <c r="A445" s="1" t="s">
        <v>481</v>
      </c>
      <c r="B445" s="1">
        <v>50</v>
      </c>
      <c r="C445" s="1" t="s">
        <v>19</v>
      </c>
      <c r="D445" s="1" t="s">
        <v>50</v>
      </c>
      <c r="E445" s="1" t="s">
        <v>21</v>
      </c>
      <c r="F445" s="1">
        <v>596</v>
      </c>
      <c r="G445" s="1">
        <v>119</v>
      </c>
      <c r="H445" s="1" t="s">
        <v>15</v>
      </c>
      <c r="I445" s="1" t="s">
        <v>23</v>
      </c>
      <c r="J445" s="1" t="s">
        <v>38</v>
      </c>
      <c r="K445" s="1">
        <v>87.98</v>
      </c>
      <c r="L445" s="1">
        <v>22.04</v>
      </c>
    </row>
    <row r="446" spans="1:12" ht="15.6" x14ac:dyDescent="0.3">
      <c r="A446" s="1" t="s">
        <v>482</v>
      </c>
      <c r="B446" s="1">
        <v>40</v>
      </c>
      <c r="C446" s="1" t="s">
        <v>26</v>
      </c>
      <c r="D446" s="1" t="s">
        <v>50</v>
      </c>
      <c r="E446" s="1" t="s">
        <v>2</v>
      </c>
      <c r="F446" s="1">
        <v>321</v>
      </c>
      <c r="G446" s="1">
        <v>855</v>
      </c>
      <c r="H446" s="1" t="s">
        <v>32</v>
      </c>
      <c r="I446" s="1" t="s">
        <v>23</v>
      </c>
      <c r="J446" s="1" t="s">
        <v>24</v>
      </c>
      <c r="K446" s="1">
        <v>29.72</v>
      </c>
      <c r="L446" s="1">
        <v>28.23</v>
      </c>
    </row>
    <row r="447" spans="1:12" ht="15.6" x14ac:dyDescent="0.3">
      <c r="A447" s="1" t="s">
        <v>483</v>
      </c>
      <c r="B447" s="1">
        <v>30</v>
      </c>
      <c r="C447" s="1" t="s">
        <v>13</v>
      </c>
      <c r="D447" s="1" t="s">
        <v>50</v>
      </c>
      <c r="E447" s="1" t="s">
        <v>2</v>
      </c>
      <c r="F447" s="1">
        <v>298</v>
      </c>
      <c r="G447" s="1">
        <v>1</v>
      </c>
      <c r="H447" s="1" t="s">
        <v>22</v>
      </c>
      <c r="I447" s="1" t="s">
        <v>16</v>
      </c>
      <c r="J447" s="1" t="s">
        <v>38</v>
      </c>
      <c r="K447" s="1">
        <v>62.22</v>
      </c>
      <c r="L447" s="1">
        <v>72.75</v>
      </c>
    </row>
    <row r="448" spans="1:12" ht="15.6" x14ac:dyDescent="0.3">
      <c r="A448" s="1" t="s">
        <v>484</v>
      </c>
      <c r="B448" s="1">
        <v>39</v>
      </c>
      <c r="C448" s="1" t="s">
        <v>26</v>
      </c>
      <c r="D448" s="1" t="s">
        <v>27</v>
      </c>
      <c r="E448" s="1" t="s">
        <v>2</v>
      </c>
      <c r="F448" s="1">
        <v>114</v>
      </c>
      <c r="G448" s="1">
        <v>296</v>
      </c>
      <c r="H448" s="1" t="s">
        <v>37</v>
      </c>
      <c r="I448" s="1" t="s">
        <v>23</v>
      </c>
      <c r="J448" s="1" t="s">
        <v>38</v>
      </c>
      <c r="K448" s="1">
        <v>14.98</v>
      </c>
      <c r="L448" s="1">
        <v>70.87</v>
      </c>
    </row>
    <row r="449" spans="1:12" ht="15.6" x14ac:dyDescent="0.3">
      <c r="A449" s="1" t="s">
        <v>485</v>
      </c>
      <c r="B449" s="1">
        <v>27</v>
      </c>
      <c r="C449" s="1" t="s">
        <v>13</v>
      </c>
      <c r="D449" s="1" t="s">
        <v>14</v>
      </c>
      <c r="E449" s="1" t="s">
        <v>45</v>
      </c>
      <c r="F449" s="1">
        <v>283</v>
      </c>
      <c r="G449" s="1">
        <v>192</v>
      </c>
      <c r="H449" s="1" t="s">
        <v>48</v>
      </c>
      <c r="I449" s="1" t="s">
        <v>23</v>
      </c>
      <c r="J449" s="1" t="s">
        <v>38</v>
      </c>
      <c r="K449" s="1">
        <v>26.68</v>
      </c>
      <c r="L449" s="1">
        <v>29.31</v>
      </c>
    </row>
    <row r="450" spans="1:12" ht="15.6" x14ac:dyDescent="0.3">
      <c r="A450" s="1" t="s">
        <v>486</v>
      </c>
      <c r="B450" s="1">
        <v>13</v>
      </c>
      <c r="C450" s="1" t="s">
        <v>19</v>
      </c>
      <c r="D450" s="1" t="s">
        <v>14</v>
      </c>
      <c r="E450" s="1" t="s">
        <v>2</v>
      </c>
      <c r="F450" s="1">
        <v>83</v>
      </c>
      <c r="G450" s="1">
        <v>461</v>
      </c>
      <c r="H450" s="1" t="s">
        <v>37</v>
      </c>
      <c r="I450" s="1" t="s">
        <v>23</v>
      </c>
      <c r="J450" s="1" t="s">
        <v>38</v>
      </c>
      <c r="K450" s="1">
        <v>87.53</v>
      </c>
      <c r="L450" s="1">
        <v>59.96</v>
      </c>
    </row>
    <row r="451" spans="1:12" ht="15.6" x14ac:dyDescent="0.3">
      <c r="A451" s="1" t="s">
        <v>487</v>
      </c>
      <c r="B451" s="1">
        <v>29</v>
      </c>
      <c r="C451" s="1" t="s">
        <v>19</v>
      </c>
      <c r="D451" s="1" t="s">
        <v>27</v>
      </c>
      <c r="E451" s="1" t="s">
        <v>40</v>
      </c>
      <c r="F451" s="1">
        <v>245</v>
      </c>
      <c r="G451" s="1">
        <v>147</v>
      </c>
      <c r="H451" s="1" t="s">
        <v>37</v>
      </c>
      <c r="I451" s="1" t="s">
        <v>16</v>
      </c>
      <c r="J451" s="1" t="s">
        <v>24</v>
      </c>
      <c r="K451" s="1">
        <v>68.87</v>
      </c>
      <c r="L451" s="1">
        <v>12.69</v>
      </c>
    </row>
    <row r="452" spans="1:12" ht="15.6" x14ac:dyDescent="0.3">
      <c r="A452" s="1" t="s">
        <v>488</v>
      </c>
      <c r="B452" s="1">
        <v>44</v>
      </c>
      <c r="C452" s="1" t="s">
        <v>13</v>
      </c>
      <c r="D452" s="1" t="s">
        <v>35</v>
      </c>
      <c r="E452" s="1" t="s">
        <v>40</v>
      </c>
      <c r="F452" s="1">
        <v>458</v>
      </c>
      <c r="G452" s="1">
        <v>320</v>
      </c>
      <c r="H452" s="1" t="s">
        <v>48</v>
      </c>
      <c r="I452" s="1" t="s">
        <v>23</v>
      </c>
      <c r="J452" s="1" t="s">
        <v>17</v>
      </c>
      <c r="K452" s="1">
        <v>76.95</v>
      </c>
      <c r="L452" s="1">
        <v>75.61</v>
      </c>
    </row>
    <row r="453" spans="1:12" ht="15.6" x14ac:dyDescent="0.3">
      <c r="A453" s="1" t="s">
        <v>489</v>
      </c>
      <c r="B453" s="1">
        <v>21</v>
      </c>
      <c r="C453" s="1" t="s">
        <v>13</v>
      </c>
      <c r="D453" s="1" t="s">
        <v>30</v>
      </c>
      <c r="E453" s="1" t="s">
        <v>45</v>
      </c>
      <c r="F453" s="1">
        <v>587</v>
      </c>
      <c r="G453" s="1">
        <v>62</v>
      </c>
      <c r="H453" s="1" t="s">
        <v>37</v>
      </c>
      <c r="I453" s="1" t="s">
        <v>16</v>
      </c>
      <c r="J453" s="1" t="s">
        <v>24</v>
      </c>
      <c r="K453" s="1">
        <v>25.65</v>
      </c>
      <c r="L453" s="1">
        <v>66.459999999999994</v>
      </c>
    </row>
    <row r="454" spans="1:12" ht="15.6" x14ac:dyDescent="0.3">
      <c r="A454" s="1" t="s">
        <v>490</v>
      </c>
      <c r="B454" s="1">
        <v>48</v>
      </c>
      <c r="C454" s="1" t="s">
        <v>19</v>
      </c>
      <c r="D454" s="1" t="s">
        <v>30</v>
      </c>
      <c r="E454" s="1" t="s">
        <v>31</v>
      </c>
      <c r="F454" s="1">
        <v>401</v>
      </c>
      <c r="G454" s="1">
        <v>431</v>
      </c>
      <c r="H454" s="1" t="s">
        <v>37</v>
      </c>
      <c r="I454" s="1" t="s">
        <v>23</v>
      </c>
      <c r="J454" s="1" t="s">
        <v>17</v>
      </c>
      <c r="K454" s="1">
        <v>33.270000000000003</v>
      </c>
      <c r="L454" s="1">
        <v>60.32</v>
      </c>
    </row>
    <row r="455" spans="1:12" ht="15.6" x14ac:dyDescent="0.3">
      <c r="A455" s="1" t="s">
        <v>491</v>
      </c>
      <c r="B455" s="1">
        <v>22</v>
      </c>
      <c r="C455" s="1" t="s">
        <v>29</v>
      </c>
      <c r="D455" s="1" t="s">
        <v>20</v>
      </c>
      <c r="E455" s="1" t="s">
        <v>36</v>
      </c>
      <c r="F455" s="1">
        <v>322</v>
      </c>
      <c r="G455" s="1">
        <v>456</v>
      </c>
      <c r="H455" s="1" t="s">
        <v>37</v>
      </c>
      <c r="I455" s="1" t="s">
        <v>23</v>
      </c>
      <c r="J455" s="1" t="s">
        <v>24</v>
      </c>
      <c r="K455" s="1">
        <v>63.44</v>
      </c>
      <c r="L455" s="1">
        <v>43.03</v>
      </c>
    </row>
    <row r="456" spans="1:12" ht="15.6" x14ac:dyDescent="0.3">
      <c r="A456" s="1" t="s">
        <v>492</v>
      </c>
      <c r="B456" s="1">
        <v>14</v>
      </c>
      <c r="C456" s="1" t="s">
        <v>19</v>
      </c>
      <c r="D456" s="1" t="s">
        <v>50</v>
      </c>
      <c r="E456" s="1" t="s">
        <v>40</v>
      </c>
      <c r="F456" s="1">
        <v>221</v>
      </c>
      <c r="G456" s="1">
        <v>256</v>
      </c>
      <c r="H456" s="1" t="s">
        <v>37</v>
      </c>
      <c r="I456" s="1" t="s">
        <v>16</v>
      </c>
      <c r="J456" s="1" t="s">
        <v>38</v>
      </c>
      <c r="K456" s="1">
        <v>79.03</v>
      </c>
      <c r="L456" s="1">
        <v>44.52</v>
      </c>
    </row>
    <row r="457" spans="1:12" ht="15.6" x14ac:dyDescent="0.3">
      <c r="A457" s="1" t="s">
        <v>493</v>
      </c>
      <c r="B457" s="1">
        <v>52</v>
      </c>
      <c r="C457" s="1" t="s">
        <v>26</v>
      </c>
      <c r="D457" s="1" t="s">
        <v>20</v>
      </c>
      <c r="E457" s="1" t="s">
        <v>45</v>
      </c>
      <c r="F457" s="1">
        <v>360</v>
      </c>
      <c r="G457" s="1">
        <v>380</v>
      </c>
      <c r="H457" s="1" t="s">
        <v>15</v>
      </c>
      <c r="I457" s="1" t="s">
        <v>16</v>
      </c>
      <c r="J457" s="1" t="s">
        <v>38</v>
      </c>
      <c r="K457" s="1">
        <v>29.73</v>
      </c>
      <c r="L457" s="1">
        <v>5.9</v>
      </c>
    </row>
    <row r="458" spans="1:12" ht="15.6" x14ac:dyDescent="0.3">
      <c r="A458" s="1" t="s">
        <v>494</v>
      </c>
      <c r="B458" s="1">
        <v>58</v>
      </c>
      <c r="C458" s="1" t="s">
        <v>13</v>
      </c>
      <c r="D458" s="1" t="s">
        <v>30</v>
      </c>
      <c r="E458" s="1" t="s">
        <v>31</v>
      </c>
      <c r="F458" s="1">
        <v>472</v>
      </c>
      <c r="G458" s="1">
        <v>13</v>
      </c>
      <c r="H458" s="1" t="s">
        <v>22</v>
      </c>
      <c r="I458" s="1" t="s">
        <v>23</v>
      </c>
      <c r="J458" s="1" t="s">
        <v>17</v>
      </c>
      <c r="K458" s="1">
        <v>48.18</v>
      </c>
      <c r="L458" s="1">
        <v>17.84</v>
      </c>
    </row>
    <row r="459" spans="1:12" ht="15.6" x14ac:dyDescent="0.3">
      <c r="A459" s="1" t="s">
        <v>495</v>
      </c>
      <c r="B459" s="1">
        <v>43</v>
      </c>
      <c r="C459" s="1" t="s">
        <v>26</v>
      </c>
      <c r="D459" s="1" t="s">
        <v>14</v>
      </c>
      <c r="E459" s="1" t="s">
        <v>36</v>
      </c>
      <c r="F459" s="1">
        <v>495</v>
      </c>
      <c r="G459" s="1">
        <v>79</v>
      </c>
      <c r="H459" s="1" t="s">
        <v>48</v>
      </c>
      <c r="I459" s="1" t="s">
        <v>16</v>
      </c>
      <c r="J459" s="1" t="s">
        <v>38</v>
      </c>
      <c r="K459" s="1">
        <v>61.3</v>
      </c>
      <c r="L459" s="1">
        <v>47.38</v>
      </c>
    </row>
    <row r="460" spans="1:12" ht="15.6" x14ac:dyDescent="0.3">
      <c r="A460" s="1" t="s">
        <v>496</v>
      </c>
      <c r="B460" s="1">
        <v>52</v>
      </c>
      <c r="C460" s="1" t="s">
        <v>34</v>
      </c>
      <c r="D460" s="1" t="s">
        <v>50</v>
      </c>
      <c r="E460" s="1" t="s">
        <v>36</v>
      </c>
      <c r="F460" s="1">
        <v>544</v>
      </c>
      <c r="G460" s="1">
        <v>251</v>
      </c>
      <c r="H460" s="1" t="s">
        <v>32</v>
      </c>
      <c r="I460" s="1" t="s">
        <v>16</v>
      </c>
      <c r="J460" s="1" t="s">
        <v>24</v>
      </c>
      <c r="K460" s="1">
        <v>18.73</v>
      </c>
      <c r="L460" s="1">
        <v>70.16</v>
      </c>
    </row>
    <row r="461" spans="1:12" ht="15.6" x14ac:dyDescent="0.3">
      <c r="A461" s="1" t="s">
        <v>497</v>
      </c>
      <c r="B461" s="1">
        <v>35</v>
      </c>
      <c r="C461" s="1" t="s">
        <v>29</v>
      </c>
      <c r="D461" s="1" t="s">
        <v>20</v>
      </c>
      <c r="E461" s="1" t="s">
        <v>45</v>
      </c>
      <c r="F461" s="1">
        <v>81</v>
      </c>
      <c r="G461" s="1">
        <v>164</v>
      </c>
      <c r="H461" s="1" t="s">
        <v>15</v>
      </c>
      <c r="I461" s="1" t="s">
        <v>23</v>
      </c>
      <c r="J461" s="1" t="s">
        <v>17</v>
      </c>
      <c r="K461" s="1">
        <v>86.86</v>
      </c>
      <c r="L461" s="1">
        <v>56.23</v>
      </c>
    </row>
    <row r="462" spans="1:12" ht="15.6" x14ac:dyDescent="0.3">
      <c r="A462" s="1" t="s">
        <v>498</v>
      </c>
      <c r="B462" s="1">
        <v>45</v>
      </c>
      <c r="C462" s="1" t="s">
        <v>34</v>
      </c>
      <c r="D462" s="1" t="s">
        <v>30</v>
      </c>
      <c r="E462" s="1" t="s">
        <v>40</v>
      </c>
      <c r="F462" s="1">
        <v>481</v>
      </c>
      <c r="G462" s="1">
        <v>360</v>
      </c>
      <c r="H462" s="1" t="s">
        <v>48</v>
      </c>
      <c r="I462" s="1" t="s">
        <v>16</v>
      </c>
      <c r="J462" s="1" t="s">
        <v>24</v>
      </c>
      <c r="K462" s="1">
        <v>65.73</v>
      </c>
      <c r="L462" s="1">
        <v>9.8800000000000008</v>
      </c>
    </row>
    <row r="463" spans="1:12" ht="15.6" x14ac:dyDescent="0.3">
      <c r="A463" s="1" t="s">
        <v>499</v>
      </c>
      <c r="B463" s="1">
        <v>27</v>
      </c>
      <c r="C463" s="1" t="s">
        <v>19</v>
      </c>
      <c r="D463" s="1" t="s">
        <v>30</v>
      </c>
      <c r="E463" s="1" t="s">
        <v>40</v>
      </c>
      <c r="F463" s="1">
        <v>393</v>
      </c>
      <c r="G463" s="1">
        <v>271</v>
      </c>
      <c r="H463" s="1" t="s">
        <v>22</v>
      </c>
      <c r="I463" s="1" t="s">
        <v>23</v>
      </c>
      <c r="J463" s="1" t="s">
        <v>24</v>
      </c>
      <c r="K463" s="1">
        <v>14.19</v>
      </c>
      <c r="L463" s="1">
        <v>17.55</v>
      </c>
    </row>
    <row r="464" spans="1:12" ht="15.6" x14ac:dyDescent="0.3">
      <c r="A464" s="1" t="s">
        <v>500</v>
      </c>
      <c r="B464" s="1">
        <v>37</v>
      </c>
      <c r="C464" s="1" t="s">
        <v>26</v>
      </c>
      <c r="D464" s="1" t="s">
        <v>27</v>
      </c>
      <c r="E464" s="1" t="s">
        <v>40</v>
      </c>
      <c r="F464" s="1">
        <v>238</v>
      </c>
      <c r="G464" s="1">
        <v>51</v>
      </c>
      <c r="H464" s="1" t="s">
        <v>48</v>
      </c>
      <c r="I464" s="1" t="s">
        <v>16</v>
      </c>
      <c r="J464" s="1" t="s">
        <v>17</v>
      </c>
      <c r="K464" s="1">
        <v>55.01</v>
      </c>
      <c r="L464" s="1">
        <v>27.66</v>
      </c>
    </row>
    <row r="465" spans="1:12" ht="15.6" x14ac:dyDescent="0.3">
      <c r="A465" s="1" t="s">
        <v>501</v>
      </c>
      <c r="B465" s="1">
        <v>42</v>
      </c>
      <c r="C465" s="1" t="s">
        <v>29</v>
      </c>
      <c r="D465" s="1" t="s">
        <v>14</v>
      </c>
      <c r="E465" s="1" t="s">
        <v>21</v>
      </c>
      <c r="F465" s="1">
        <v>362</v>
      </c>
      <c r="G465" s="1">
        <v>62</v>
      </c>
      <c r="H465" s="1" t="s">
        <v>32</v>
      </c>
      <c r="I465" s="1" t="s">
        <v>16</v>
      </c>
      <c r="J465" s="1" t="s">
        <v>24</v>
      </c>
      <c r="K465" s="1">
        <v>60.09</v>
      </c>
      <c r="L465" s="1">
        <v>6.09</v>
      </c>
    </row>
    <row r="466" spans="1:12" ht="15.6" x14ac:dyDescent="0.3">
      <c r="A466" s="1" t="s">
        <v>502</v>
      </c>
      <c r="B466" s="1">
        <v>52</v>
      </c>
      <c r="C466" s="1" t="s">
        <v>26</v>
      </c>
      <c r="D466" s="1" t="s">
        <v>50</v>
      </c>
      <c r="E466" s="1" t="s">
        <v>21</v>
      </c>
      <c r="F466" s="1">
        <v>496</v>
      </c>
      <c r="G466" s="1">
        <v>439</v>
      </c>
      <c r="H466" s="1" t="s">
        <v>15</v>
      </c>
      <c r="I466" s="1" t="s">
        <v>23</v>
      </c>
      <c r="J466" s="1" t="s">
        <v>38</v>
      </c>
      <c r="K466" s="1">
        <v>12.62</v>
      </c>
      <c r="L466" s="1">
        <v>67.02</v>
      </c>
    </row>
    <row r="467" spans="1:12" ht="15.6" x14ac:dyDescent="0.3">
      <c r="A467" s="1" t="s">
        <v>503</v>
      </c>
      <c r="B467" s="1">
        <v>55</v>
      </c>
      <c r="C467" s="1" t="s">
        <v>13</v>
      </c>
      <c r="D467" s="1" t="s">
        <v>20</v>
      </c>
      <c r="E467" s="1" t="s">
        <v>45</v>
      </c>
      <c r="F467" s="1">
        <v>600</v>
      </c>
      <c r="G467" s="1">
        <v>372</v>
      </c>
      <c r="H467" s="1" t="s">
        <v>15</v>
      </c>
      <c r="I467" s="1" t="s">
        <v>16</v>
      </c>
      <c r="J467" s="1" t="s">
        <v>17</v>
      </c>
      <c r="K467" s="1">
        <v>16.25</v>
      </c>
      <c r="L467" s="1">
        <v>21.86</v>
      </c>
    </row>
    <row r="468" spans="1:12" ht="15.6" x14ac:dyDescent="0.3">
      <c r="A468" s="1" t="s">
        <v>504</v>
      </c>
      <c r="B468" s="1">
        <v>54</v>
      </c>
      <c r="C468" s="1" t="s">
        <v>29</v>
      </c>
      <c r="D468" s="1" t="s">
        <v>14</v>
      </c>
      <c r="E468" s="1" t="s">
        <v>36</v>
      </c>
      <c r="F468" s="1">
        <v>194</v>
      </c>
      <c r="G468" s="1">
        <v>36</v>
      </c>
      <c r="H468" s="1" t="s">
        <v>48</v>
      </c>
      <c r="I468" s="1" t="s">
        <v>23</v>
      </c>
      <c r="J468" s="1" t="s">
        <v>17</v>
      </c>
      <c r="K468" s="1">
        <v>76.69</v>
      </c>
      <c r="L468" s="1">
        <v>73.87</v>
      </c>
    </row>
    <row r="469" spans="1:12" ht="15.6" x14ac:dyDescent="0.3">
      <c r="A469" s="1" t="s">
        <v>505</v>
      </c>
      <c r="B469" s="1">
        <v>53</v>
      </c>
      <c r="C469" s="1" t="s">
        <v>19</v>
      </c>
      <c r="D469" s="1" t="s">
        <v>35</v>
      </c>
      <c r="E469" s="1" t="s">
        <v>45</v>
      </c>
      <c r="F469" s="1">
        <v>264</v>
      </c>
      <c r="G469" s="1">
        <v>270</v>
      </c>
      <c r="H469" s="1" t="s">
        <v>15</v>
      </c>
      <c r="I469" s="1" t="s">
        <v>16</v>
      </c>
      <c r="J469" s="1" t="s">
        <v>24</v>
      </c>
      <c r="K469" s="1">
        <v>85.79</v>
      </c>
      <c r="L469" s="1">
        <v>37.299999999999997</v>
      </c>
    </row>
    <row r="470" spans="1:12" ht="15.6" x14ac:dyDescent="0.3">
      <c r="A470" s="1" t="s">
        <v>506</v>
      </c>
      <c r="B470" s="1">
        <v>49</v>
      </c>
      <c r="C470" s="1" t="s">
        <v>34</v>
      </c>
      <c r="D470" s="1" t="s">
        <v>35</v>
      </c>
      <c r="E470" s="1" t="s">
        <v>45</v>
      </c>
      <c r="F470" s="1">
        <v>314</v>
      </c>
      <c r="G470" s="1">
        <v>279</v>
      </c>
      <c r="H470" s="1" t="s">
        <v>22</v>
      </c>
      <c r="I470" s="1" t="s">
        <v>16</v>
      </c>
      <c r="J470" s="1" t="s">
        <v>24</v>
      </c>
      <c r="K470" s="1">
        <v>58.94</v>
      </c>
      <c r="L470" s="1">
        <v>75.650000000000006</v>
      </c>
    </row>
    <row r="471" spans="1:12" ht="15.6" x14ac:dyDescent="0.3">
      <c r="A471" s="1" t="s">
        <v>507</v>
      </c>
      <c r="B471" s="1">
        <v>34</v>
      </c>
      <c r="C471" s="1" t="s">
        <v>13</v>
      </c>
      <c r="D471" s="1" t="s">
        <v>27</v>
      </c>
      <c r="E471" s="1" t="s">
        <v>21</v>
      </c>
      <c r="F471" s="1">
        <v>558</v>
      </c>
      <c r="G471" s="1">
        <v>38</v>
      </c>
      <c r="H471" s="1" t="s">
        <v>32</v>
      </c>
      <c r="I471" s="1" t="s">
        <v>16</v>
      </c>
      <c r="J471" s="1" t="s">
        <v>17</v>
      </c>
      <c r="K471" s="1">
        <v>62.87</v>
      </c>
      <c r="L471" s="1">
        <v>60.02</v>
      </c>
    </row>
    <row r="472" spans="1:12" ht="15.6" x14ac:dyDescent="0.3">
      <c r="A472" s="1" t="s">
        <v>508</v>
      </c>
      <c r="B472" s="1">
        <v>16</v>
      </c>
      <c r="C472" s="1" t="s">
        <v>19</v>
      </c>
      <c r="D472" s="1" t="s">
        <v>14</v>
      </c>
      <c r="E472" s="1" t="s">
        <v>31</v>
      </c>
      <c r="F472" s="1">
        <v>501</v>
      </c>
      <c r="G472" s="1">
        <v>258</v>
      </c>
      <c r="H472" s="1" t="s">
        <v>37</v>
      </c>
      <c r="I472" s="1" t="s">
        <v>16</v>
      </c>
      <c r="J472" s="1" t="s">
        <v>24</v>
      </c>
      <c r="K472" s="1">
        <v>54.08</v>
      </c>
      <c r="L472" s="1">
        <v>41.25</v>
      </c>
    </row>
    <row r="473" spans="1:12" ht="15.6" x14ac:dyDescent="0.3">
      <c r="A473" s="1" t="s">
        <v>509</v>
      </c>
      <c r="B473" s="1">
        <v>14</v>
      </c>
      <c r="C473" s="1" t="s">
        <v>29</v>
      </c>
      <c r="D473" s="1" t="s">
        <v>14</v>
      </c>
      <c r="E473" s="1" t="s">
        <v>36</v>
      </c>
      <c r="F473" s="1">
        <v>483</v>
      </c>
      <c r="G473" s="1">
        <v>387</v>
      </c>
      <c r="H473" s="1" t="s">
        <v>48</v>
      </c>
      <c r="I473" s="1" t="s">
        <v>16</v>
      </c>
      <c r="J473" s="1" t="s">
        <v>24</v>
      </c>
      <c r="K473" s="1">
        <v>29.43</v>
      </c>
      <c r="L473" s="1">
        <v>78.62</v>
      </c>
    </row>
    <row r="474" spans="1:12" ht="15.6" x14ac:dyDescent="0.3">
      <c r="A474" s="1" t="s">
        <v>510</v>
      </c>
      <c r="B474" s="1">
        <v>37</v>
      </c>
      <c r="C474" s="1" t="s">
        <v>29</v>
      </c>
      <c r="D474" s="1" t="s">
        <v>35</v>
      </c>
      <c r="E474" s="1" t="s">
        <v>31</v>
      </c>
      <c r="F474" s="1">
        <v>288</v>
      </c>
      <c r="G474" s="1">
        <v>356</v>
      </c>
      <c r="H474" s="1" t="s">
        <v>15</v>
      </c>
      <c r="I474" s="1" t="s">
        <v>16</v>
      </c>
      <c r="J474" s="1" t="s">
        <v>38</v>
      </c>
      <c r="K474" s="1">
        <v>72.02</v>
      </c>
      <c r="L474" s="1">
        <v>8.23</v>
      </c>
    </row>
    <row r="475" spans="1:12" ht="15.6" x14ac:dyDescent="0.3">
      <c r="A475" s="1" t="s">
        <v>511</v>
      </c>
      <c r="B475" s="1">
        <v>31</v>
      </c>
      <c r="C475" s="1" t="s">
        <v>13</v>
      </c>
      <c r="D475" s="1" t="s">
        <v>14</v>
      </c>
      <c r="E475" s="1" t="s">
        <v>21</v>
      </c>
      <c r="F475" s="1">
        <v>42</v>
      </c>
      <c r="G475" s="1">
        <v>496</v>
      </c>
      <c r="H475" s="1" t="s">
        <v>37</v>
      </c>
      <c r="I475" s="1" t="s">
        <v>16</v>
      </c>
      <c r="J475" s="1" t="s">
        <v>17</v>
      </c>
      <c r="K475" s="1">
        <v>87.86</v>
      </c>
      <c r="L475" s="1">
        <v>29.01</v>
      </c>
    </row>
    <row r="476" spans="1:12" ht="15.6" x14ac:dyDescent="0.3">
      <c r="A476" s="1" t="s">
        <v>512</v>
      </c>
      <c r="B476" s="1">
        <v>28</v>
      </c>
      <c r="C476" s="1" t="s">
        <v>26</v>
      </c>
      <c r="D476" s="1" t="s">
        <v>14</v>
      </c>
      <c r="E476" s="1" t="s">
        <v>2</v>
      </c>
      <c r="F476" s="1">
        <v>339</v>
      </c>
      <c r="G476" s="1">
        <v>150</v>
      </c>
      <c r="H476" s="1" t="s">
        <v>32</v>
      </c>
      <c r="I476" s="1" t="s">
        <v>23</v>
      </c>
      <c r="J476" s="1" t="s">
        <v>17</v>
      </c>
      <c r="K476" s="1">
        <v>89.45</v>
      </c>
      <c r="L476" s="1">
        <v>45.28</v>
      </c>
    </row>
    <row r="477" spans="1:12" ht="15.6" x14ac:dyDescent="0.3">
      <c r="A477" s="1" t="s">
        <v>513</v>
      </c>
      <c r="B477" s="1">
        <v>45</v>
      </c>
      <c r="C477" s="1" t="s">
        <v>19</v>
      </c>
      <c r="D477" s="1" t="s">
        <v>35</v>
      </c>
      <c r="E477" s="1" t="s">
        <v>31</v>
      </c>
      <c r="F477" s="1">
        <v>356</v>
      </c>
      <c r="G477" s="1">
        <v>455</v>
      </c>
      <c r="H477" s="1" t="s">
        <v>32</v>
      </c>
      <c r="I477" s="1" t="s">
        <v>16</v>
      </c>
      <c r="J477" s="1" t="s">
        <v>17</v>
      </c>
      <c r="K477" s="1">
        <v>57.5</v>
      </c>
      <c r="L477" s="1">
        <v>15.17</v>
      </c>
    </row>
    <row r="478" spans="1:12" ht="15.6" x14ac:dyDescent="0.3">
      <c r="A478" s="1" t="s">
        <v>514</v>
      </c>
      <c r="B478" s="1">
        <v>45</v>
      </c>
      <c r="C478" s="1" t="s">
        <v>34</v>
      </c>
      <c r="D478" s="1" t="s">
        <v>27</v>
      </c>
      <c r="E478" s="1" t="s">
        <v>36</v>
      </c>
      <c r="F478" s="1">
        <v>577</v>
      </c>
      <c r="G478" s="1">
        <v>369</v>
      </c>
      <c r="H478" s="1" t="s">
        <v>15</v>
      </c>
      <c r="I478" s="1" t="s">
        <v>16</v>
      </c>
      <c r="J478" s="1" t="s">
        <v>17</v>
      </c>
      <c r="K478" s="1">
        <v>12.1</v>
      </c>
      <c r="L478" s="1">
        <v>33.61</v>
      </c>
    </row>
    <row r="479" spans="1:12" ht="15.6" x14ac:dyDescent="0.3">
      <c r="A479" s="1" t="s">
        <v>515</v>
      </c>
      <c r="B479" s="1">
        <v>13</v>
      </c>
      <c r="C479" s="1" t="s">
        <v>19</v>
      </c>
      <c r="D479" s="1" t="s">
        <v>14</v>
      </c>
      <c r="E479" s="1" t="s">
        <v>36</v>
      </c>
      <c r="F479" s="1">
        <v>481</v>
      </c>
      <c r="G479" s="1">
        <v>96</v>
      </c>
      <c r="H479" s="1" t="s">
        <v>48</v>
      </c>
      <c r="I479" s="1" t="s">
        <v>23</v>
      </c>
      <c r="J479" s="1" t="s">
        <v>38</v>
      </c>
      <c r="K479" s="1">
        <v>85.34</v>
      </c>
      <c r="L479" s="1">
        <v>39.94</v>
      </c>
    </row>
    <row r="480" spans="1:12" ht="15.6" x14ac:dyDescent="0.3">
      <c r="A480" s="1" t="s">
        <v>516</v>
      </c>
      <c r="B480" s="1">
        <v>17</v>
      </c>
      <c r="C480" s="1" t="s">
        <v>13</v>
      </c>
      <c r="D480" s="1" t="s">
        <v>14</v>
      </c>
      <c r="E480" s="1" t="s">
        <v>40</v>
      </c>
      <c r="F480" s="1">
        <v>185</v>
      </c>
      <c r="G480" s="1">
        <v>172</v>
      </c>
      <c r="H480" s="1" t="s">
        <v>22</v>
      </c>
      <c r="I480" s="1" t="s">
        <v>16</v>
      </c>
      <c r="J480" s="1" t="s">
        <v>17</v>
      </c>
      <c r="K480" s="1">
        <v>32.380000000000003</v>
      </c>
      <c r="L480" s="1">
        <v>57.11</v>
      </c>
    </row>
    <row r="481" spans="1:12" ht="15.6" x14ac:dyDescent="0.3">
      <c r="A481" s="1" t="s">
        <v>517</v>
      </c>
      <c r="B481" s="1">
        <v>23</v>
      </c>
      <c r="C481" s="1" t="s">
        <v>29</v>
      </c>
      <c r="D481" s="1" t="s">
        <v>14</v>
      </c>
      <c r="E481" s="1" t="s">
        <v>31</v>
      </c>
      <c r="F481" s="1">
        <v>166</v>
      </c>
      <c r="G481" s="1">
        <v>293</v>
      </c>
      <c r="H481" s="1" t="s">
        <v>15</v>
      </c>
      <c r="I481" s="1" t="s">
        <v>16</v>
      </c>
      <c r="J481" s="1" t="s">
        <v>24</v>
      </c>
      <c r="K481" s="1">
        <v>40.409999999999997</v>
      </c>
      <c r="L481" s="1">
        <v>25.3</v>
      </c>
    </row>
    <row r="482" spans="1:12" ht="15.6" x14ac:dyDescent="0.3">
      <c r="A482" s="1" t="s">
        <v>518</v>
      </c>
      <c r="B482" s="1">
        <v>16</v>
      </c>
      <c r="C482" s="1" t="s">
        <v>34</v>
      </c>
      <c r="D482" s="1" t="s">
        <v>14</v>
      </c>
      <c r="E482" s="1" t="s">
        <v>45</v>
      </c>
      <c r="F482" s="1">
        <v>514</v>
      </c>
      <c r="G482" s="1">
        <v>317</v>
      </c>
      <c r="H482" s="1" t="s">
        <v>48</v>
      </c>
      <c r="I482" s="1" t="s">
        <v>23</v>
      </c>
      <c r="J482" s="1" t="s">
        <v>38</v>
      </c>
      <c r="K482" s="1">
        <v>82.38</v>
      </c>
      <c r="L482" s="1">
        <v>26.1</v>
      </c>
    </row>
    <row r="483" spans="1:12" ht="15.6" x14ac:dyDescent="0.3">
      <c r="A483" s="1" t="s">
        <v>519</v>
      </c>
      <c r="B483" s="1">
        <v>47</v>
      </c>
      <c r="C483" s="1" t="s">
        <v>13</v>
      </c>
      <c r="D483" s="1" t="s">
        <v>20</v>
      </c>
      <c r="E483" s="1" t="s">
        <v>45</v>
      </c>
      <c r="F483" s="1">
        <v>251</v>
      </c>
      <c r="G483" s="1">
        <v>430</v>
      </c>
      <c r="H483" s="1" t="s">
        <v>48</v>
      </c>
      <c r="I483" s="1" t="s">
        <v>16</v>
      </c>
      <c r="J483" s="1" t="s">
        <v>38</v>
      </c>
      <c r="K483" s="1">
        <v>10.66</v>
      </c>
      <c r="L483" s="1">
        <v>63.66</v>
      </c>
    </row>
    <row r="484" spans="1:12" ht="15.6" x14ac:dyDescent="0.3">
      <c r="A484" s="1" t="s">
        <v>520</v>
      </c>
      <c r="B484" s="1">
        <v>33</v>
      </c>
      <c r="C484" s="1" t="s">
        <v>19</v>
      </c>
      <c r="D484" s="1" t="s">
        <v>30</v>
      </c>
      <c r="E484" s="1" t="s">
        <v>36</v>
      </c>
      <c r="F484" s="1">
        <v>308</v>
      </c>
      <c r="G484" s="1">
        <v>450</v>
      </c>
      <c r="H484" s="1" t="s">
        <v>48</v>
      </c>
      <c r="I484" s="1" t="s">
        <v>16</v>
      </c>
      <c r="J484" s="1" t="s">
        <v>24</v>
      </c>
      <c r="K484" s="1">
        <v>32.53</v>
      </c>
      <c r="L484" s="1">
        <v>65.59</v>
      </c>
    </row>
    <row r="485" spans="1:12" ht="15.6" x14ac:dyDescent="0.3">
      <c r="A485" s="1" t="s">
        <v>521</v>
      </c>
      <c r="B485" s="1">
        <v>49</v>
      </c>
      <c r="C485" s="1" t="s">
        <v>13</v>
      </c>
      <c r="D485" s="1" t="s">
        <v>30</v>
      </c>
      <c r="E485" s="1" t="s">
        <v>36</v>
      </c>
      <c r="F485" s="1">
        <v>92</v>
      </c>
      <c r="G485" s="1">
        <v>271</v>
      </c>
      <c r="H485" s="1" t="s">
        <v>22</v>
      </c>
      <c r="I485" s="1" t="s">
        <v>23</v>
      </c>
      <c r="J485" s="1" t="s">
        <v>38</v>
      </c>
      <c r="K485" s="1">
        <v>68.97</v>
      </c>
      <c r="L485" s="1">
        <v>20.100000000000001</v>
      </c>
    </row>
    <row r="486" spans="1:12" ht="15.6" x14ac:dyDescent="0.3">
      <c r="A486" s="1" t="s">
        <v>522</v>
      </c>
      <c r="B486" s="1">
        <v>57</v>
      </c>
      <c r="C486" s="1" t="s">
        <v>13</v>
      </c>
      <c r="D486" s="1" t="s">
        <v>27</v>
      </c>
      <c r="E486" s="1" t="s">
        <v>21</v>
      </c>
      <c r="F486" s="1">
        <v>158</v>
      </c>
      <c r="G486" s="1">
        <v>61</v>
      </c>
      <c r="H486" s="1" t="s">
        <v>37</v>
      </c>
      <c r="I486" s="1" t="s">
        <v>16</v>
      </c>
      <c r="J486" s="1" t="s">
        <v>38</v>
      </c>
      <c r="K486" s="1">
        <v>88.85</v>
      </c>
      <c r="L486" s="1">
        <v>64.77</v>
      </c>
    </row>
    <row r="487" spans="1:12" ht="15.6" x14ac:dyDescent="0.3">
      <c r="A487" s="1" t="s">
        <v>523</v>
      </c>
      <c r="B487" s="1">
        <v>36</v>
      </c>
      <c r="C487" s="1" t="s">
        <v>26</v>
      </c>
      <c r="D487" s="1" t="s">
        <v>27</v>
      </c>
      <c r="E487" s="1" t="s">
        <v>2</v>
      </c>
      <c r="F487" s="1">
        <v>593</v>
      </c>
      <c r="G487" s="1">
        <v>373</v>
      </c>
      <c r="H487" s="1" t="s">
        <v>15</v>
      </c>
      <c r="I487" s="1" t="s">
        <v>23</v>
      </c>
      <c r="J487" s="1" t="s">
        <v>17</v>
      </c>
      <c r="K487" s="1">
        <v>28.82</v>
      </c>
      <c r="L487" s="1">
        <v>65.13</v>
      </c>
    </row>
    <row r="488" spans="1:12" ht="15.6" x14ac:dyDescent="0.3">
      <c r="A488" s="1" t="s">
        <v>524</v>
      </c>
      <c r="B488" s="1">
        <v>55</v>
      </c>
      <c r="C488" s="1" t="s">
        <v>29</v>
      </c>
      <c r="D488" s="1" t="s">
        <v>30</v>
      </c>
      <c r="E488" s="1" t="s">
        <v>45</v>
      </c>
      <c r="F488" s="1">
        <v>489</v>
      </c>
      <c r="G488" s="1">
        <v>317</v>
      </c>
      <c r="H488" s="1" t="s">
        <v>22</v>
      </c>
      <c r="I488" s="1" t="s">
        <v>16</v>
      </c>
      <c r="J488" s="1" t="s">
        <v>24</v>
      </c>
      <c r="K488" s="1">
        <v>76.59</v>
      </c>
      <c r="L488" s="1">
        <v>27.61</v>
      </c>
    </row>
    <row r="489" spans="1:12" ht="15.6" x14ac:dyDescent="0.3">
      <c r="A489" s="1" t="s">
        <v>525</v>
      </c>
      <c r="B489" s="1">
        <v>57</v>
      </c>
      <c r="C489" s="1" t="s">
        <v>29</v>
      </c>
      <c r="D489" s="1" t="s">
        <v>27</v>
      </c>
      <c r="E489" s="1" t="s">
        <v>36</v>
      </c>
      <c r="F489" s="1">
        <v>336</v>
      </c>
      <c r="G489" s="1">
        <v>308</v>
      </c>
      <c r="H489" s="1" t="s">
        <v>48</v>
      </c>
      <c r="I489" s="1" t="s">
        <v>16</v>
      </c>
      <c r="J489" s="1" t="s">
        <v>38</v>
      </c>
      <c r="K489" s="1">
        <v>51.29</v>
      </c>
      <c r="L489" s="1">
        <v>16.72</v>
      </c>
    </row>
    <row r="490" spans="1:12" ht="15.6" x14ac:dyDescent="0.3">
      <c r="A490" s="1" t="s">
        <v>526</v>
      </c>
      <c r="B490" s="1">
        <v>51</v>
      </c>
      <c r="C490" s="1" t="s">
        <v>26</v>
      </c>
      <c r="D490" s="1" t="s">
        <v>35</v>
      </c>
      <c r="E490" s="1" t="s">
        <v>2</v>
      </c>
      <c r="F490" s="1">
        <v>544</v>
      </c>
      <c r="G490" s="1">
        <v>16</v>
      </c>
      <c r="H490" s="1" t="s">
        <v>37</v>
      </c>
      <c r="I490" s="1" t="s">
        <v>16</v>
      </c>
      <c r="J490" s="1" t="s">
        <v>24</v>
      </c>
      <c r="K490" s="1">
        <v>76.099999999999994</v>
      </c>
      <c r="L490" s="1">
        <v>30.4</v>
      </c>
    </row>
    <row r="491" spans="1:12" ht="15.6" x14ac:dyDescent="0.3">
      <c r="A491" s="1" t="s">
        <v>527</v>
      </c>
      <c r="B491" s="1">
        <v>25</v>
      </c>
      <c r="C491" s="1" t="s">
        <v>19</v>
      </c>
      <c r="D491" s="1" t="s">
        <v>50</v>
      </c>
      <c r="E491" s="1" t="s">
        <v>36</v>
      </c>
      <c r="F491" s="1">
        <v>266</v>
      </c>
      <c r="G491" s="1">
        <v>449</v>
      </c>
      <c r="H491" s="1" t="s">
        <v>22</v>
      </c>
      <c r="I491" s="1" t="s">
        <v>23</v>
      </c>
      <c r="J491" s="1" t="s">
        <v>38</v>
      </c>
      <c r="K491" s="1">
        <v>61.98</v>
      </c>
      <c r="L491" s="1">
        <v>44.53</v>
      </c>
    </row>
    <row r="492" spans="1:12" ht="15.6" x14ac:dyDescent="0.3">
      <c r="A492" s="1" t="s">
        <v>528</v>
      </c>
      <c r="B492" s="1">
        <v>19</v>
      </c>
      <c r="C492" s="1" t="s">
        <v>19</v>
      </c>
      <c r="D492" s="1" t="s">
        <v>35</v>
      </c>
      <c r="E492" s="1" t="s">
        <v>40</v>
      </c>
      <c r="F492" s="1">
        <v>238</v>
      </c>
      <c r="G492" s="1">
        <v>242</v>
      </c>
      <c r="H492" s="1" t="s">
        <v>37</v>
      </c>
      <c r="I492" s="1" t="s">
        <v>16</v>
      </c>
      <c r="J492" s="1" t="s">
        <v>17</v>
      </c>
      <c r="K492" s="1">
        <v>48.12</v>
      </c>
      <c r="L492" s="1">
        <v>61.72</v>
      </c>
    </row>
    <row r="493" spans="1:12" ht="15.6" x14ac:dyDescent="0.3">
      <c r="A493" s="1" t="s">
        <v>529</v>
      </c>
      <c r="B493" s="1">
        <v>14</v>
      </c>
      <c r="C493" s="1" t="s">
        <v>26</v>
      </c>
      <c r="D493" s="1" t="s">
        <v>20</v>
      </c>
      <c r="E493" s="1" t="s">
        <v>45</v>
      </c>
      <c r="F493" s="1">
        <v>211</v>
      </c>
      <c r="G493" s="1">
        <v>63</v>
      </c>
      <c r="H493" s="1" t="s">
        <v>15</v>
      </c>
      <c r="I493" s="1" t="s">
        <v>23</v>
      </c>
      <c r="J493" s="1" t="s">
        <v>38</v>
      </c>
      <c r="K493" s="1">
        <v>89.7</v>
      </c>
      <c r="L493" s="1">
        <v>17</v>
      </c>
    </row>
    <row r="494" spans="1:12" ht="15.6" x14ac:dyDescent="0.3">
      <c r="A494" s="1" t="s">
        <v>530</v>
      </c>
      <c r="B494" s="1">
        <v>13</v>
      </c>
      <c r="C494" s="1" t="s">
        <v>13</v>
      </c>
      <c r="D494" s="1" t="s">
        <v>30</v>
      </c>
      <c r="E494" s="1" t="s">
        <v>36</v>
      </c>
      <c r="F494" s="1">
        <v>37</v>
      </c>
      <c r="G494" s="1">
        <v>372</v>
      </c>
      <c r="H494" s="1" t="s">
        <v>22</v>
      </c>
      <c r="I494" s="1" t="s">
        <v>23</v>
      </c>
      <c r="J494" s="1" t="s">
        <v>17</v>
      </c>
      <c r="K494" s="1">
        <v>37.15</v>
      </c>
      <c r="L494" s="1">
        <v>7.42</v>
      </c>
    </row>
    <row r="495" spans="1:12" ht="15.6" x14ac:dyDescent="0.3">
      <c r="A495" s="1" t="s">
        <v>531</v>
      </c>
      <c r="B495" s="1">
        <v>37</v>
      </c>
      <c r="C495" s="1" t="s">
        <v>13</v>
      </c>
      <c r="D495" s="1" t="s">
        <v>20</v>
      </c>
      <c r="E495" s="1" t="s">
        <v>36</v>
      </c>
      <c r="F495" s="1">
        <v>428</v>
      </c>
      <c r="G495" s="1">
        <v>382</v>
      </c>
      <c r="H495" s="1" t="s">
        <v>37</v>
      </c>
      <c r="I495" s="1" t="s">
        <v>16</v>
      </c>
      <c r="J495" s="1" t="s">
        <v>24</v>
      </c>
      <c r="K495" s="1">
        <v>84.9</v>
      </c>
      <c r="L495" s="1">
        <v>22.66</v>
      </c>
    </row>
    <row r="496" spans="1:12" ht="15.6" x14ac:dyDescent="0.3">
      <c r="A496" s="1" t="s">
        <v>532</v>
      </c>
      <c r="B496" s="1">
        <v>36</v>
      </c>
      <c r="C496" s="1" t="s">
        <v>29</v>
      </c>
      <c r="D496" s="1" t="s">
        <v>20</v>
      </c>
      <c r="E496" s="1" t="s">
        <v>21</v>
      </c>
      <c r="F496" s="1">
        <v>147</v>
      </c>
      <c r="G496" s="1">
        <v>475</v>
      </c>
      <c r="H496" s="1" t="s">
        <v>22</v>
      </c>
      <c r="I496" s="1" t="s">
        <v>16</v>
      </c>
      <c r="J496" s="1" t="s">
        <v>17</v>
      </c>
      <c r="K496" s="1">
        <v>78.36</v>
      </c>
      <c r="L496" s="1">
        <v>45.74</v>
      </c>
    </row>
    <row r="497" spans="1:12" ht="15.6" x14ac:dyDescent="0.3">
      <c r="A497" s="1" t="s">
        <v>533</v>
      </c>
      <c r="B497" s="1">
        <v>48</v>
      </c>
      <c r="C497" s="1" t="s">
        <v>13</v>
      </c>
      <c r="D497" s="1" t="s">
        <v>27</v>
      </c>
      <c r="E497" s="1" t="s">
        <v>2</v>
      </c>
      <c r="F497" s="1">
        <v>161</v>
      </c>
      <c r="G497" s="1">
        <v>196</v>
      </c>
      <c r="H497" s="1" t="s">
        <v>37</v>
      </c>
      <c r="I497" s="1" t="s">
        <v>16</v>
      </c>
      <c r="J497" s="1" t="s">
        <v>24</v>
      </c>
      <c r="K497" s="1">
        <v>42.72</v>
      </c>
      <c r="L497" s="1">
        <v>79.98</v>
      </c>
    </row>
    <row r="498" spans="1:12" ht="15.6" x14ac:dyDescent="0.3">
      <c r="A498" s="1" t="s">
        <v>534</v>
      </c>
      <c r="B498" s="1">
        <v>52</v>
      </c>
      <c r="C498" s="1" t="s">
        <v>34</v>
      </c>
      <c r="D498" s="1" t="s">
        <v>20</v>
      </c>
      <c r="E498" s="1" t="s">
        <v>2</v>
      </c>
      <c r="F498" s="1">
        <v>40</v>
      </c>
      <c r="G498" s="1">
        <v>307</v>
      </c>
      <c r="H498" s="1" t="s">
        <v>37</v>
      </c>
      <c r="I498" s="1" t="s">
        <v>16</v>
      </c>
      <c r="J498" s="1" t="s">
        <v>24</v>
      </c>
      <c r="K498" s="1">
        <v>79.540000000000006</v>
      </c>
      <c r="L498" s="1">
        <v>30.39</v>
      </c>
    </row>
    <row r="499" spans="1:12" ht="15.6" x14ac:dyDescent="0.3">
      <c r="A499" s="1" t="s">
        <v>535</v>
      </c>
      <c r="B499" s="1">
        <v>34</v>
      </c>
      <c r="C499" s="1" t="s">
        <v>29</v>
      </c>
      <c r="D499" s="1" t="s">
        <v>20</v>
      </c>
      <c r="E499" s="1" t="s">
        <v>21</v>
      </c>
      <c r="F499" s="1">
        <v>407</v>
      </c>
      <c r="G499" s="1">
        <v>176</v>
      </c>
      <c r="H499" s="1" t="s">
        <v>15</v>
      </c>
      <c r="I499" s="1" t="s">
        <v>16</v>
      </c>
      <c r="J499" s="1" t="s">
        <v>17</v>
      </c>
      <c r="K499" s="1">
        <v>32.78</v>
      </c>
      <c r="L499" s="1">
        <v>68.239999999999995</v>
      </c>
    </row>
    <row r="500" spans="1:12" ht="15.6" x14ac:dyDescent="0.3">
      <c r="A500" s="1" t="s">
        <v>536</v>
      </c>
      <c r="B500" s="1">
        <v>18</v>
      </c>
      <c r="C500" s="1" t="s">
        <v>29</v>
      </c>
      <c r="D500" s="1" t="s">
        <v>14</v>
      </c>
      <c r="E500" s="1" t="s">
        <v>36</v>
      </c>
      <c r="F500" s="1">
        <v>340</v>
      </c>
      <c r="G500" s="1">
        <v>293</v>
      </c>
      <c r="H500" s="1" t="s">
        <v>15</v>
      </c>
      <c r="I500" s="1" t="s">
        <v>16</v>
      </c>
      <c r="J500" s="1" t="s">
        <v>38</v>
      </c>
      <c r="K500" s="1">
        <v>23.17</v>
      </c>
      <c r="L500" s="1">
        <v>75.290000000000006</v>
      </c>
    </row>
    <row r="501" spans="1:12" ht="15.6" x14ac:dyDescent="0.3">
      <c r="A501" s="1" t="s">
        <v>537</v>
      </c>
      <c r="B501" s="1">
        <v>34</v>
      </c>
      <c r="C501" s="1" t="s">
        <v>26</v>
      </c>
      <c r="D501" s="1" t="s">
        <v>50</v>
      </c>
      <c r="E501" s="1" t="s">
        <v>45</v>
      </c>
      <c r="F501" s="1">
        <v>119</v>
      </c>
      <c r="G501" s="1">
        <v>229</v>
      </c>
      <c r="H501" s="1" t="s">
        <v>22</v>
      </c>
      <c r="I501" s="1" t="s">
        <v>23</v>
      </c>
      <c r="J501" s="1" t="s">
        <v>38</v>
      </c>
      <c r="K501" s="1">
        <v>40.700000000000003</v>
      </c>
      <c r="L501" s="1">
        <v>57.62</v>
      </c>
    </row>
    <row r="502" spans="1:12" ht="15.6" x14ac:dyDescent="0.3">
      <c r="A502" s="1" t="s">
        <v>538</v>
      </c>
      <c r="B502" s="1">
        <v>60</v>
      </c>
      <c r="C502" s="1" t="s">
        <v>26</v>
      </c>
      <c r="D502" s="1" t="s">
        <v>50</v>
      </c>
      <c r="E502" s="1" t="s">
        <v>21</v>
      </c>
      <c r="F502" s="1">
        <v>475</v>
      </c>
      <c r="G502" s="1">
        <v>31</v>
      </c>
      <c r="H502" s="1" t="s">
        <v>32</v>
      </c>
      <c r="I502" s="1" t="s">
        <v>23</v>
      </c>
      <c r="J502" s="1" t="s">
        <v>24</v>
      </c>
      <c r="K502" s="1">
        <v>25.26</v>
      </c>
      <c r="L502" s="1">
        <v>50.96</v>
      </c>
    </row>
    <row r="503" spans="1:12" ht="15.6" x14ac:dyDescent="0.3">
      <c r="A503" s="1" t="s">
        <v>539</v>
      </c>
      <c r="B503" s="1">
        <v>45</v>
      </c>
      <c r="C503" s="1" t="s">
        <v>13</v>
      </c>
      <c r="D503" s="1" t="s">
        <v>50</v>
      </c>
      <c r="E503" s="1" t="s">
        <v>31</v>
      </c>
      <c r="F503" s="1">
        <v>291</v>
      </c>
      <c r="G503" s="1">
        <v>193</v>
      </c>
      <c r="H503" s="1" t="s">
        <v>32</v>
      </c>
      <c r="I503" s="1" t="s">
        <v>23</v>
      </c>
      <c r="J503" s="1" t="s">
        <v>24</v>
      </c>
      <c r="K503" s="1">
        <v>61.61</v>
      </c>
      <c r="L503" s="1">
        <v>77.790000000000006</v>
      </c>
    </row>
    <row r="504" spans="1:12" ht="15.6" x14ac:dyDescent="0.3">
      <c r="A504" s="1" t="s">
        <v>540</v>
      </c>
      <c r="B504" s="1">
        <v>51</v>
      </c>
      <c r="C504" s="1" t="s">
        <v>13</v>
      </c>
      <c r="D504" s="1" t="s">
        <v>30</v>
      </c>
      <c r="E504" s="1" t="s">
        <v>45</v>
      </c>
      <c r="F504" s="1">
        <v>333</v>
      </c>
      <c r="G504" s="1">
        <v>482</v>
      </c>
      <c r="H504" s="1" t="s">
        <v>22</v>
      </c>
      <c r="I504" s="1" t="s">
        <v>23</v>
      </c>
      <c r="J504" s="1" t="s">
        <v>38</v>
      </c>
      <c r="K504" s="1">
        <v>79.150000000000006</v>
      </c>
      <c r="L504" s="1">
        <v>31.46</v>
      </c>
    </row>
    <row r="505" spans="1:12" ht="15.6" x14ac:dyDescent="0.3">
      <c r="A505" s="1" t="s">
        <v>541</v>
      </c>
      <c r="B505" s="1">
        <v>16</v>
      </c>
      <c r="C505" s="1" t="s">
        <v>26</v>
      </c>
      <c r="D505" s="1" t="s">
        <v>35</v>
      </c>
      <c r="E505" s="1" t="s">
        <v>36</v>
      </c>
      <c r="F505" s="1">
        <v>422</v>
      </c>
      <c r="G505" s="1">
        <v>285</v>
      </c>
      <c r="H505" s="1" t="s">
        <v>37</v>
      </c>
      <c r="I505" s="1" t="s">
        <v>23</v>
      </c>
      <c r="J505" s="1" t="s">
        <v>38</v>
      </c>
      <c r="K505" s="1">
        <v>87.27</v>
      </c>
      <c r="L505" s="1">
        <v>44.6</v>
      </c>
    </row>
    <row r="506" spans="1:12" ht="15.6" x14ac:dyDescent="0.3">
      <c r="A506" s="1" t="s">
        <v>542</v>
      </c>
      <c r="B506" s="1">
        <v>55</v>
      </c>
      <c r="C506" s="1" t="s">
        <v>34</v>
      </c>
      <c r="D506" s="1" t="s">
        <v>35</v>
      </c>
      <c r="E506" s="1" t="s">
        <v>45</v>
      </c>
      <c r="F506" s="1">
        <v>259</v>
      </c>
      <c r="G506" s="1">
        <v>175</v>
      </c>
      <c r="H506" s="1" t="s">
        <v>37</v>
      </c>
      <c r="I506" s="1" t="s">
        <v>23</v>
      </c>
      <c r="J506" s="1" t="s">
        <v>17</v>
      </c>
      <c r="K506" s="1">
        <v>47.43</v>
      </c>
      <c r="L506" s="1">
        <v>5.96</v>
      </c>
    </row>
    <row r="507" spans="1:12" ht="15.6" x14ac:dyDescent="0.3">
      <c r="A507" s="1" t="s">
        <v>543</v>
      </c>
      <c r="B507" s="1">
        <v>54</v>
      </c>
      <c r="C507" s="1" t="s">
        <v>34</v>
      </c>
      <c r="D507" s="1" t="s">
        <v>35</v>
      </c>
      <c r="E507" s="1" t="s">
        <v>2</v>
      </c>
      <c r="F507" s="1">
        <v>365</v>
      </c>
      <c r="G507" s="1">
        <v>369</v>
      </c>
      <c r="H507" s="1" t="s">
        <v>37</v>
      </c>
      <c r="I507" s="1" t="s">
        <v>23</v>
      </c>
      <c r="J507" s="1" t="s">
        <v>24</v>
      </c>
      <c r="K507" s="1">
        <v>10.38</v>
      </c>
      <c r="L507" s="1">
        <v>13.99</v>
      </c>
    </row>
    <row r="508" spans="1:12" ht="15.6" x14ac:dyDescent="0.3">
      <c r="A508" s="1" t="s">
        <v>544</v>
      </c>
      <c r="B508" s="1">
        <v>51</v>
      </c>
      <c r="C508" s="1" t="s">
        <v>34</v>
      </c>
      <c r="D508" s="1" t="s">
        <v>27</v>
      </c>
      <c r="E508" s="1" t="s">
        <v>31</v>
      </c>
      <c r="F508" s="1">
        <v>349</v>
      </c>
      <c r="G508" s="1">
        <v>96</v>
      </c>
      <c r="H508" s="1" t="s">
        <v>15</v>
      </c>
      <c r="I508" s="1" t="s">
        <v>16</v>
      </c>
      <c r="J508" s="1" t="s">
        <v>24</v>
      </c>
      <c r="K508" s="1">
        <v>13.91</v>
      </c>
      <c r="L508" s="1">
        <v>75.650000000000006</v>
      </c>
    </row>
    <row r="509" spans="1:12" ht="15.6" x14ac:dyDescent="0.3">
      <c r="A509" s="1" t="s">
        <v>545</v>
      </c>
      <c r="B509" s="1">
        <v>23</v>
      </c>
      <c r="C509" s="1" t="s">
        <v>34</v>
      </c>
      <c r="D509" s="1" t="s">
        <v>14</v>
      </c>
      <c r="E509" s="1" t="s">
        <v>21</v>
      </c>
      <c r="F509" s="1">
        <v>71</v>
      </c>
      <c r="G509" s="1">
        <v>83</v>
      </c>
      <c r="H509" s="1" t="s">
        <v>32</v>
      </c>
      <c r="I509" s="1" t="s">
        <v>16</v>
      </c>
      <c r="J509" s="1" t="s">
        <v>24</v>
      </c>
      <c r="K509" s="1">
        <v>64.14</v>
      </c>
      <c r="L509" s="1">
        <v>74.510000000000005</v>
      </c>
    </row>
    <row r="510" spans="1:12" ht="15.6" x14ac:dyDescent="0.3">
      <c r="A510" s="1" t="s">
        <v>546</v>
      </c>
      <c r="B510" s="1">
        <v>31</v>
      </c>
      <c r="C510" s="1" t="s">
        <v>29</v>
      </c>
      <c r="D510" s="1" t="s">
        <v>35</v>
      </c>
      <c r="E510" s="1" t="s">
        <v>36</v>
      </c>
      <c r="F510" s="1">
        <v>417</v>
      </c>
      <c r="G510" s="1">
        <v>467</v>
      </c>
      <c r="H510" s="1" t="s">
        <v>37</v>
      </c>
      <c r="I510" s="1" t="s">
        <v>23</v>
      </c>
      <c r="J510" s="1" t="s">
        <v>24</v>
      </c>
      <c r="K510" s="1">
        <v>76.73</v>
      </c>
      <c r="L510" s="1">
        <v>60.58</v>
      </c>
    </row>
    <row r="511" spans="1:12" ht="15.6" x14ac:dyDescent="0.3">
      <c r="A511" s="1" t="s">
        <v>547</v>
      </c>
      <c r="B511" s="1">
        <v>19</v>
      </c>
      <c r="C511" s="1" t="s">
        <v>29</v>
      </c>
      <c r="D511" s="1" t="s">
        <v>30</v>
      </c>
      <c r="E511" s="1" t="s">
        <v>36</v>
      </c>
      <c r="F511" s="1">
        <v>413</v>
      </c>
      <c r="G511" s="1">
        <v>249</v>
      </c>
      <c r="H511" s="1" t="s">
        <v>22</v>
      </c>
      <c r="I511" s="1" t="s">
        <v>23</v>
      </c>
      <c r="J511" s="1" t="s">
        <v>17</v>
      </c>
      <c r="K511" s="1">
        <v>23.25</v>
      </c>
      <c r="L511" s="1">
        <v>7.98</v>
      </c>
    </row>
    <row r="512" spans="1:12" ht="15.6" x14ac:dyDescent="0.3">
      <c r="A512" s="1" t="s">
        <v>548</v>
      </c>
      <c r="B512" s="1">
        <v>24</v>
      </c>
      <c r="C512" s="1" t="s">
        <v>26</v>
      </c>
      <c r="D512" s="1" t="s">
        <v>20</v>
      </c>
      <c r="E512" s="1" t="s">
        <v>36</v>
      </c>
      <c r="F512" s="1">
        <v>308</v>
      </c>
      <c r="G512" s="1">
        <v>430</v>
      </c>
      <c r="H512" s="1" t="s">
        <v>22</v>
      </c>
      <c r="I512" s="1" t="s">
        <v>16</v>
      </c>
      <c r="J512" s="1" t="s">
        <v>17</v>
      </c>
      <c r="K512" s="1">
        <v>40.880000000000003</v>
      </c>
      <c r="L512" s="1">
        <v>38.619999999999997</v>
      </c>
    </row>
    <row r="513" spans="1:12" ht="15.6" x14ac:dyDescent="0.3">
      <c r="A513" s="1" t="s">
        <v>549</v>
      </c>
      <c r="B513" s="1">
        <v>32</v>
      </c>
      <c r="C513" s="1" t="s">
        <v>29</v>
      </c>
      <c r="D513" s="1" t="s">
        <v>35</v>
      </c>
      <c r="E513" s="1" t="s">
        <v>21</v>
      </c>
      <c r="F513" s="1">
        <v>24</v>
      </c>
      <c r="G513" s="1">
        <v>446</v>
      </c>
      <c r="H513" s="1" t="s">
        <v>15</v>
      </c>
      <c r="I513" s="1" t="s">
        <v>23</v>
      </c>
      <c r="J513" s="1" t="s">
        <v>38</v>
      </c>
      <c r="K513" s="1">
        <v>81.569999999999993</v>
      </c>
      <c r="L513" s="1">
        <v>42.09</v>
      </c>
    </row>
    <row r="514" spans="1:12" ht="15.6" x14ac:dyDescent="0.3">
      <c r="A514" s="1" t="s">
        <v>550</v>
      </c>
      <c r="B514" s="1">
        <v>55</v>
      </c>
      <c r="C514" s="1" t="s">
        <v>34</v>
      </c>
      <c r="D514" s="1" t="s">
        <v>20</v>
      </c>
      <c r="E514" s="1" t="s">
        <v>31</v>
      </c>
      <c r="F514" s="1">
        <v>431</v>
      </c>
      <c r="G514" s="1">
        <v>234</v>
      </c>
      <c r="H514" s="1" t="s">
        <v>32</v>
      </c>
      <c r="I514" s="1" t="s">
        <v>23</v>
      </c>
      <c r="J514" s="1" t="s">
        <v>38</v>
      </c>
      <c r="K514" s="1">
        <v>10.199999999999999</v>
      </c>
      <c r="L514" s="1">
        <v>6.52</v>
      </c>
    </row>
    <row r="515" spans="1:12" ht="15.6" x14ac:dyDescent="0.3">
      <c r="A515" s="1" t="s">
        <v>551</v>
      </c>
      <c r="B515" s="1">
        <v>54</v>
      </c>
      <c r="C515" s="1" t="s">
        <v>29</v>
      </c>
      <c r="D515" s="1" t="s">
        <v>50</v>
      </c>
      <c r="E515" s="1" t="s">
        <v>36</v>
      </c>
      <c r="F515" s="1">
        <v>420</v>
      </c>
      <c r="G515" s="1">
        <v>96</v>
      </c>
      <c r="H515" s="1" t="s">
        <v>32</v>
      </c>
      <c r="I515" s="1" t="s">
        <v>16</v>
      </c>
      <c r="J515" s="1" t="s">
        <v>38</v>
      </c>
      <c r="K515" s="1">
        <v>44.35</v>
      </c>
      <c r="L515" s="1">
        <v>56.94</v>
      </c>
    </row>
    <row r="516" spans="1:12" ht="15.6" x14ac:dyDescent="0.3">
      <c r="A516" s="1" t="s">
        <v>552</v>
      </c>
      <c r="B516" s="1">
        <v>29</v>
      </c>
      <c r="C516" s="1" t="s">
        <v>26</v>
      </c>
      <c r="D516" s="1" t="s">
        <v>27</v>
      </c>
      <c r="E516" s="1" t="s">
        <v>31</v>
      </c>
      <c r="F516" s="1">
        <v>358</v>
      </c>
      <c r="G516" s="1">
        <v>225</v>
      </c>
      <c r="H516" s="1" t="s">
        <v>15</v>
      </c>
      <c r="I516" s="1" t="s">
        <v>23</v>
      </c>
      <c r="J516" s="1" t="s">
        <v>17</v>
      </c>
      <c r="K516" s="1">
        <v>18.86</v>
      </c>
      <c r="L516" s="1">
        <v>55.07</v>
      </c>
    </row>
    <row r="517" spans="1:12" ht="15.6" x14ac:dyDescent="0.3">
      <c r="A517" s="1" t="s">
        <v>553</v>
      </c>
      <c r="B517" s="1">
        <v>33</v>
      </c>
      <c r="C517" s="1" t="s">
        <v>19</v>
      </c>
      <c r="D517" s="1" t="s">
        <v>30</v>
      </c>
      <c r="E517" s="1" t="s">
        <v>21</v>
      </c>
      <c r="F517" s="1">
        <v>246</v>
      </c>
      <c r="G517" s="1">
        <v>123</v>
      </c>
      <c r="H517" s="1" t="s">
        <v>48</v>
      </c>
      <c r="I517" s="1" t="s">
        <v>16</v>
      </c>
      <c r="J517" s="1" t="s">
        <v>17</v>
      </c>
      <c r="K517" s="1">
        <v>87.16</v>
      </c>
      <c r="L517" s="1">
        <v>66.58</v>
      </c>
    </row>
    <row r="518" spans="1:12" ht="15.6" x14ac:dyDescent="0.3">
      <c r="A518" s="1" t="s">
        <v>554</v>
      </c>
      <c r="B518" s="1">
        <v>27</v>
      </c>
      <c r="C518" s="1" t="s">
        <v>13</v>
      </c>
      <c r="D518" s="1" t="s">
        <v>20</v>
      </c>
      <c r="E518" s="1" t="s">
        <v>40</v>
      </c>
      <c r="F518" s="1">
        <v>240</v>
      </c>
      <c r="G518" s="1">
        <v>486</v>
      </c>
      <c r="H518" s="1" t="s">
        <v>15</v>
      </c>
      <c r="I518" s="1" t="s">
        <v>23</v>
      </c>
      <c r="J518" s="1" t="s">
        <v>24</v>
      </c>
      <c r="K518" s="1">
        <v>52.36</v>
      </c>
      <c r="L518" s="1">
        <v>52.31</v>
      </c>
    </row>
    <row r="519" spans="1:12" ht="15.6" x14ac:dyDescent="0.3">
      <c r="A519" s="1" t="s">
        <v>555</v>
      </c>
      <c r="B519" s="1">
        <v>33</v>
      </c>
      <c r="C519" s="1" t="s">
        <v>13</v>
      </c>
      <c r="D519" s="1" t="s">
        <v>50</v>
      </c>
      <c r="E519" s="1" t="s">
        <v>36</v>
      </c>
      <c r="F519" s="1">
        <v>495</v>
      </c>
      <c r="G519" s="1">
        <v>143</v>
      </c>
      <c r="H519" s="1" t="s">
        <v>22</v>
      </c>
      <c r="I519" s="1" t="s">
        <v>23</v>
      </c>
      <c r="J519" s="1" t="s">
        <v>17</v>
      </c>
      <c r="K519" s="1">
        <v>85.29</v>
      </c>
      <c r="L519" s="1">
        <v>36.04</v>
      </c>
    </row>
    <row r="520" spans="1:12" ht="15.6" x14ac:dyDescent="0.3">
      <c r="A520" s="1" t="s">
        <v>556</v>
      </c>
      <c r="B520" s="1">
        <v>41</v>
      </c>
      <c r="C520" s="1" t="s">
        <v>29</v>
      </c>
      <c r="D520" s="1" t="s">
        <v>30</v>
      </c>
      <c r="E520" s="1" t="s">
        <v>40</v>
      </c>
      <c r="F520" s="1">
        <v>275</v>
      </c>
      <c r="G520" s="1">
        <v>499</v>
      </c>
      <c r="H520" s="1" t="s">
        <v>22</v>
      </c>
      <c r="I520" s="1" t="s">
        <v>16</v>
      </c>
      <c r="J520" s="1" t="s">
        <v>17</v>
      </c>
      <c r="K520" s="1">
        <v>43.53</v>
      </c>
      <c r="L520" s="1">
        <v>52.74</v>
      </c>
    </row>
    <row r="521" spans="1:12" ht="15.6" x14ac:dyDescent="0.3">
      <c r="A521" s="1" t="s">
        <v>557</v>
      </c>
      <c r="B521" s="1">
        <v>26</v>
      </c>
      <c r="C521" s="1" t="s">
        <v>26</v>
      </c>
      <c r="D521" s="1" t="s">
        <v>50</v>
      </c>
      <c r="E521" s="1" t="s">
        <v>45</v>
      </c>
      <c r="F521" s="1">
        <v>325</v>
      </c>
      <c r="G521" s="1">
        <v>7</v>
      </c>
      <c r="H521" s="1" t="s">
        <v>37</v>
      </c>
      <c r="I521" s="1" t="s">
        <v>16</v>
      </c>
      <c r="J521" s="1" t="s">
        <v>38</v>
      </c>
      <c r="K521" s="1">
        <v>15.98</v>
      </c>
      <c r="L521" s="1">
        <v>79.86</v>
      </c>
    </row>
    <row r="522" spans="1:12" ht="15.6" x14ac:dyDescent="0.3">
      <c r="A522" s="1" t="s">
        <v>558</v>
      </c>
      <c r="B522" s="1">
        <v>28</v>
      </c>
      <c r="C522" s="1" t="s">
        <v>34</v>
      </c>
      <c r="D522" s="1" t="s">
        <v>50</v>
      </c>
      <c r="E522" s="1" t="s">
        <v>31</v>
      </c>
      <c r="F522" s="1">
        <v>284</v>
      </c>
      <c r="G522" s="1">
        <v>295</v>
      </c>
      <c r="H522" s="1" t="s">
        <v>32</v>
      </c>
      <c r="I522" s="1" t="s">
        <v>23</v>
      </c>
      <c r="J522" s="1" t="s">
        <v>17</v>
      </c>
      <c r="K522" s="1">
        <v>64.27</v>
      </c>
      <c r="L522" s="1">
        <v>25.19</v>
      </c>
    </row>
    <row r="523" spans="1:12" ht="15.6" x14ac:dyDescent="0.3">
      <c r="A523" s="1" t="s">
        <v>559</v>
      </c>
      <c r="B523" s="1">
        <v>45</v>
      </c>
      <c r="C523" s="1" t="s">
        <v>26</v>
      </c>
      <c r="D523" s="1" t="s">
        <v>14</v>
      </c>
      <c r="E523" s="1" t="s">
        <v>31</v>
      </c>
      <c r="F523" s="1">
        <v>568</v>
      </c>
      <c r="G523" s="1">
        <v>174</v>
      </c>
      <c r="H523" s="1" t="s">
        <v>32</v>
      </c>
      <c r="I523" s="1" t="s">
        <v>16</v>
      </c>
      <c r="J523" s="1" t="s">
        <v>17</v>
      </c>
      <c r="K523" s="1">
        <v>63.91</v>
      </c>
      <c r="L523" s="1">
        <v>58.85</v>
      </c>
    </row>
    <row r="524" spans="1:12" ht="15.6" x14ac:dyDescent="0.3">
      <c r="A524" s="1" t="s">
        <v>560</v>
      </c>
      <c r="B524" s="1">
        <v>53</v>
      </c>
      <c r="C524" s="1" t="s">
        <v>13</v>
      </c>
      <c r="D524" s="1" t="s">
        <v>35</v>
      </c>
      <c r="E524" s="1" t="s">
        <v>36</v>
      </c>
      <c r="F524" s="1">
        <v>25</v>
      </c>
      <c r="G524" s="1">
        <v>365</v>
      </c>
      <c r="H524" s="1" t="s">
        <v>22</v>
      </c>
      <c r="I524" s="1" t="s">
        <v>23</v>
      </c>
      <c r="J524" s="1" t="s">
        <v>24</v>
      </c>
      <c r="K524" s="1">
        <v>70.95</v>
      </c>
      <c r="L524" s="1">
        <v>17.87</v>
      </c>
    </row>
    <row r="525" spans="1:12" ht="15.6" x14ac:dyDescent="0.3">
      <c r="A525" s="1" t="s">
        <v>561</v>
      </c>
      <c r="B525" s="1">
        <v>22</v>
      </c>
      <c r="C525" s="1" t="s">
        <v>19</v>
      </c>
      <c r="D525" s="1" t="s">
        <v>35</v>
      </c>
      <c r="E525" s="1" t="s">
        <v>36</v>
      </c>
      <c r="F525" s="1">
        <v>450</v>
      </c>
      <c r="G525" s="1">
        <v>350</v>
      </c>
      <c r="H525" s="1" t="s">
        <v>37</v>
      </c>
      <c r="I525" s="1" t="s">
        <v>16</v>
      </c>
      <c r="J525" s="1" t="s">
        <v>17</v>
      </c>
      <c r="K525" s="1">
        <v>13.05</v>
      </c>
      <c r="L525" s="1">
        <v>36.51</v>
      </c>
    </row>
    <row r="526" spans="1:12" ht="15.6" x14ac:dyDescent="0.3">
      <c r="A526" s="1" t="s">
        <v>562</v>
      </c>
      <c r="B526" s="1">
        <v>60</v>
      </c>
      <c r="C526" s="1" t="s">
        <v>19</v>
      </c>
      <c r="D526" s="1" t="s">
        <v>27</v>
      </c>
      <c r="E526" s="1" t="s">
        <v>36</v>
      </c>
      <c r="F526" s="1">
        <v>555</v>
      </c>
      <c r="G526" s="1">
        <v>472</v>
      </c>
      <c r="H526" s="1" t="s">
        <v>32</v>
      </c>
      <c r="I526" s="1" t="s">
        <v>23</v>
      </c>
      <c r="J526" s="1" t="s">
        <v>24</v>
      </c>
      <c r="K526" s="1">
        <v>16.489999999999998</v>
      </c>
      <c r="L526" s="1">
        <v>71.010000000000005</v>
      </c>
    </row>
    <row r="527" spans="1:12" ht="15.6" x14ac:dyDescent="0.3">
      <c r="A527" s="1" t="s">
        <v>563</v>
      </c>
      <c r="B527" s="1">
        <v>15</v>
      </c>
      <c r="C527" s="1" t="s">
        <v>34</v>
      </c>
      <c r="D527" s="1" t="s">
        <v>14</v>
      </c>
      <c r="E527" s="1" t="s">
        <v>21</v>
      </c>
      <c r="F527" s="1">
        <v>154</v>
      </c>
      <c r="G527" s="1">
        <v>333</v>
      </c>
      <c r="H527" s="1" t="s">
        <v>37</v>
      </c>
      <c r="I527" s="1" t="s">
        <v>16</v>
      </c>
      <c r="J527" s="1" t="s">
        <v>24</v>
      </c>
      <c r="K527" s="1">
        <v>66.680000000000007</v>
      </c>
      <c r="L527" s="1">
        <v>18.47</v>
      </c>
    </row>
    <row r="528" spans="1:12" ht="15.6" x14ac:dyDescent="0.3">
      <c r="A528" s="1" t="s">
        <v>564</v>
      </c>
      <c r="B528" s="1">
        <v>55</v>
      </c>
      <c r="C528" s="1" t="s">
        <v>19</v>
      </c>
      <c r="D528" s="1" t="s">
        <v>30</v>
      </c>
      <c r="E528" s="1" t="s">
        <v>31</v>
      </c>
      <c r="F528" s="1">
        <v>521</v>
      </c>
      <c r="G528" s="1">
        <v>131</v>
      </c>
      <c r="H528" s="1" t="s">
        <v>37</v>
      </c>
      <c r="I528" s="1" t="s">
        <v>23</v>
      </c>
      <c r="J528" s="1" t="s">
        <v>17</v>
      </c>
      <c r="K528" s="1">
        <v>73.97</v>
      </c>
      <c r="L528" s="1">
        <v>78.58</v>
      </c>
    </row>
    <row r="529" spans="1:12" ht="15.6" x14ac:dyDescent="0.3">
      <c r="A529" s="1" t="s">
        <v>565</v>
      </c>
      <c r="B529" s="1">
        <v>39</v>
      </c>
      <c r="C529" s="1" t="s">
        <v>34</v>
      </c>
      <c r="D529" s="1" t="s">
        <v>27</v>
      </c>
      <c r="E529" s="1" t="s">
        <v>45</v>
      </c>
      <c r="F529" s="1">
        <v>411</v>
      </c>
      <c r="G529" s="1">
        <v>113</v>
      </c>
      <c r="H529" s="1" t="s">
        <v>22</v>
      </c>
      <c r="I529" s="1" t="s">
        <v>16</v>
      </c>
      <c r="J529" s="1" t="s">
        <v>38</v>
      </c>
      <c r="K529" s="1">
        <v>71.819999999999993</v>
      </c>
      <c r="L529" s="1">
        <v>51.32</v>
      </c>
    </row>
    <row r="530" spans="1:12" ht="15.6" x14ac:dyDescent="0.3">
      <c r="A530" s="1" t="s">
        <v>566</v>
      </c>
      <c r="B530" s="1">
        <v>37</v>
      </c>
      <c r="C530" s="1" t="s">
        <v>29</v>
      </c>
      <c r="D530" s="1" t="s">
        <v>14</v>
      </c>
      <c r="E530" s="1" t="s">
        <v>40</v>
      </c>
      <c r="F530" s="1">
        <v>108</v>
      </c>
      <c r="G530" s="1">
        <v>289</v>
      </c>
      <c r="H530" s="1" t="s">
        <v>48</v>
      </c>
      <c r="I530" s="1" t="s">
        <v>23</v>
      </c>
      <c r="J530" s="1" t="s">
        <v>17</v>
      </c>
      <c r="K530" s="1">
        <v>32.04</v>
      </c>
      <c r="L530" s="1">
        <v>53.08</v>
      </c>
    </row>
    <row r="531" spans="1:12" ht="15.6" x14ac:dyDescent="0.3">
      <c r="A531" s="1" t="s">
        <v>567</v>
      </c>
      <c r="B531" s="1">
        <v>33</v>
      </c>
      <c r="C531" s="1" t="s">
        <v>29</v>
      </c>
      <c r="D531" s="1" t="s">
        <v>20</v>
      </c>
      <c r="E531" s="1" t="s">
        <v>40</v>
      </c>
      <c r="F531" s="1">
        <v>481</v>
      </c>
      <c r="G531" s="1">
        <v>73</v>
      </c>
      <c r="H531" s="1" t="s">
        <v>22</v>
      </c>
      <c r="I531" s="1" t="s">
        <v>16</v>
      </c>
      <c r="J531" s="1" t="s">
        <v>38</v>
      </c>
      <c r="K531" s="1">
        <v>73.239999999999995</v>
      </c>
      <c r="L531" s="1">
        <v>61.69</v>
      </c>
    </row>
    <row r="532" spans="1:12" ht="15.6" x14ac:dyDescent="0.3">
      <c r="A532" s="1" t="s">
        <v>568</v>
      </c>
      <c r="B532" s="1">
        <v>26</v>
      </c>
      <c r="C532" s="1" t="s">
        <v>34</v>
      </c>
      <c r="D532" s="1" t="s">
        <v>20</v>
      </c>
      <c r="E532" s="1" t="s">
        <v>40</v>
      </c>
      <c r="F532" s="1">
        <v>166</v>
      </c>
      <c r="G532" s="1">
        <v>78</v>
      </c>
      <c r="H532" s="1" t="s">
        <v>48</v>
      </c>
      <c r="I532" s="1" t="s">
        <v>23</v>
      </c>
      <c r="J532" s="1" t="s">
        <v>17</v>
      </c>
      <c r="K532" s="1">
        <v>41.5</v>
      </c>
      <c r="L532" s="1">
        <v>8.6199999999999992</v>
      </c>
    </row>
    <row r="533" spans="1:12" ht="15.6" x14ac:dyDescent="0.3">
      <c r="A533" s="1" t="s">
        <v>569</v>
      </c>
      <c r="B533" s="1">
        <v>49</v>
      </c>
      <c r="C533" s="1" t="s">
        <v>13</v>
      </c>
      <c r="D533" s="1" t="s">
        <v>14</v>
      </c>
      <c r="E533" s="1" t="s">
        <v>36</v>
      </c>
      <c r="F533" s="1">
        <v>222</v>
      </c>
      <c r="G533" s="1">
        <v>478</v>
      </c>
      <c r="H533" s="1" t="s">
        <v>32</v>
      </c>
      <c r="I533" s="1" t="s">
        <v>16</v>
      </c>
      <c r="J533" s="1" t="s">
        <v>38</v>
      </c>
      <c r="K533" s="1">
        <v>66.91</v>
      </c>
      <c r="L533" s="1">
        <v>57.18</v>
      </c>
    </row>
    <row r="534" spans="1:12" ht="15.6" x14ac:dyDescent="0.3">
      <c r="A534" s="1" t="s">
        <v>570</v>
      </c>
      <c r="B534" s="1">
        <v>53</v>
      </c>
      <c r="C534" s="1" t="s">
        <v>13</v>
      </c>
      <c r="D534" s="1" t="s">
        <v>14</v>
      </c>
      <c r="E534" s="1" t="s">
        <v>2</v>
      </c>
      <c r="F534" s="1">
        <v>220</v>
      </c>
      <c r="G534" s="1">
        <v>221</v>
      </c>
      <c r="H534" s="1" t="s">
        <v>22</v>
      </c>
      <c r="I534" s="1" t="s">
        <v>16</v>
      </c>
      <c r="J534" s="1" t="s">
        <v>24</v>
      </c>
      <c r="K534" s="1">
        <v>30.46</v>
      </c>
      <c r="L534" s="1">
        <v>37.549999999999997</v>
      </c>
    </row>
    <row r="535" spans="1:12" ht="15.6" x14ac:dyDescent="0.3">
      <c r="A535" s="1" t="s">
        <v>571</v>
      </c>
      <c r="B535" s="1">
        <v>34</v>
      </c>
      <c r="C535" s="1" t="s">
        <v>26</v>
      </c>
      <c r="D535" s="1" t="s">
        <v>35</v>
      </c>
      <c r="E535" s="1" t="s">
        <v>31</v>
      </c>
      <c r="F535" s="1">
        <v>541</v>
      </c>
      <c r="G535" s="1">
        <v>103</v>
      </c>
      <c r="H535" s="1" t="s">
        <v>22</v>
      </c>
      <c r="I535" s="1" t="s">
        <v>16</v>
      </c>
      <c r="J535" s="1" t="s">
        <v>24</v>
      </c>
      <c r="K535" s="1">
        <v>46.38</v>
      </c>
      <c r="L535" s="1">
        <v>15.3</v>
      </c>
    </row>
    <row r="536" spans="1:12" ht="15.6" x14ac:dyDescent="0.3">
      <c r="A536" s="1" t="s">
        <v>572</v>
      </c>
      <c r="B536" s="1">
        <v>53</v>
      </c>
      <c r="C536" s="1" t="s">
        <v>13</v>
      </c>
      <c r="D536" s="1" t="s">
        <v>27</v>
      </c>
      <c r="E536" s="1" t="s">
        <v>2</v>
      </c>
      <c r="F536" s="1">
        <v>71</v>
      </c>
      <c r="G536" s="1">
        <v>49</v>
      </c>
      <c r="H536" s="1" t="s">
        <v>15</v>
      </c>
      <c r="I536" s="1" t="s">
        <v>23</v>
      </c>
      <c r="J536" s="1" t="s">
        <v>17</v>
      </c>
      <c r="K536" s="1">
        <v>33.909999999999997</v>
      </c>
      <c r="L536" s="1">
        <v>55.95</v>
      </c>
    </row>
    <row r="537" spans="1:12" ht="15.6" x14ac:dyDescent="0.3">
      <c r="A537" s="1" t="s">
        <v>573</v>
      </c>
      <c r="B537" s="1">
        <v>58</v>
      </c>
      <c r="C537" s="1" t="s">
        <v>19</v>
      </c>
      <c r="D537" s="1" t="s">
        <v>14</v>
      </c>
      <c r="E537" s="1" t="s">
        <v>40</v>
      </c>
      <c r="F537" s="1">
        <v>471</v>
      </c>
      <c r="G537" s="1">
        <v>309</v>
      </c>
      <c r="H537" s="1" t="s">
        <v>32</v>
      </c>
      <c r="I537" s="1" t="s">
        <v>23</v>
      </c>
      <c r="J537" s="1" t="s">
        <v>24</v>
      </c>
      <c r="K537" s="1">
        <v>47.74</v>
      </c>
      <c r="L537" s="1">
        <v>68.17</v>
      </c>
    </row>
    <row r="538" spans="1:12" ht="15.6" x14ac:dyDescent="0.3">
      <c r="A538" s="1" t="s">
        <v>574</v>
      </c>
      <c r="B538" s="1">
        <v>33</v>
      </c>
      <c r="C538" s="1" t="s">
        <v>19</v>
      </c>
      <c r="D538" s="1" t="s">
        <v>50</v>
      </c>
      <c r="E538" s="1" t="s">
        <v>36</v>
      </c>
      <c r="F538" s="1">
        <v>318</v>
      </c>
      <c r="G538" s="1">
        <v>426</v>
      </c>
      <c r="H538" s="1" t="s">
        <v>15</v>
      </c>
      <c r="I538" s="1" t="s">
        <v>23</v>
      </c>
      <c r="J538" s="1" t="s">
        <v>24</v>
      </c>
      <c r="K538" s="1">
        <v>61.58</v>
      </c>
      <c r="L538" s="1">
        <v>8.2100000000000009</v>
      </c>
    </row>
    <row r="539" spans="1:12" ht="15.6" x14ac:dyDescent="0.3">
      <c r="A539" s="1" t="s">
        <v>575</v>
      </c>
      <c r="B539" s="1">
        <v>16</v>
      </c>
      <c r="C539" s="1" t="s">
        <v>19</v>
      </c>
      <c r="D539" s="1" t="s">
        <v>27</v>
      </c>
      <c r="E539" s="1" t="s">
        <v>31</v>
      </c>
      <c r="F539" s="1">
        <v>173</v>
      </c>
      <c r="G539" s="1">
        <v>64</v>
      </c>
      <c r="H539" s="1" t="s">
        <v>37</v>
      </c>
      <c r="I539" s="1" t="s">
        <v>16</v>
      </c>
      <c r="J539" s="1" t="s">
        <v>38</v>
      </c>
      <c r="K539" s="1">
        <v>60.06</v>
      </c>
      <c r="L539" s="1">
        <v>62.69</v>
      </c>
    </row>
    <row r="540" spans="1:12" ht="15.6" x14ac:dyDescent="0.3">
      <c r="A540" s="1" t="s">
        <v>576</v>
      </c>
      <c r="B540" s="1">
        <v>55</v>
      </c>
      <c r="C540" s="1" t="s">
        <v>29</v>
      </c>
      <c r="D540" s="1" t="s">
        <v>20</v>
      </c>
      <c r="E540" s="1" t="s">
        <v>36</v>
      </c>
      <c r="F540" s="1">
        <v>98</v>
      </c>
      <c r="G540" s="1">
        <v>369</v>
      </c>
      <c r="H540" s="1" t="s">
        <v>15</v>
      </c>
      <c r="I540" s="1" t="s">
        <v>16</v>
      </c>
      <c r="J540" s="1" t="s">
        <v>38</v>
      </c>
      <c r="K540" s="1">
        <v>37.369999999999997</v>
      </c>
      <c r="L540" s="1">
        <v>76.7</v>
      </c>
    </row>
    <row r="541" spans="1:12" ht="15.6" x14ac:dyDescent="0.3">
      <c r="A541" s="1" t="s">
        <v>577</v>
      </c>
      <c r="B541" s="1">
        <v>55</v>
      </c>
      <c r="C541" s="1" t="s">
        <v>26</v>
      </c>
      <c r="D541" s="1" t="s">
        <v>14</v>
      </c>
      <c r="E541" s="1" t="s">
        <v>21</v>
      </c>
      <c r="F541" s="1">
        <v>73</v>
      </c>
      <c r="G541" s="1">
        <v>225</v>
      </c>
      <c r="H541" s="1" t="s">
        <v>15</v>
      </c>
      <c r="I541" s="1" t="s">
        <v>23</v>
      </c>
      <c r="J541" s="1" t="s">
        <v>17</v>
      </c>
      <c r="K541" s="1">
        <v>28.52</v>
      </c>
      <c r="L541" s="1">
        <v>38.409999999999997</v>
      </c>
    </row>
    <row r="542" spans="1:12" ht="15.6" x14ac:dyDescent="0.3">
      <c r="A542" s="1" t="s">
        <v>578</v>
      </c>
      <c r="B542" s="1">
        <v>37</v>
      </c>
      <c r="C542" s="1" t="s">
        <v>29</v>
      </c>
      <c r="D542" s="1" t="s">
        <v>35</v>
      </c>
      <c r="E542" s="1" t="s">
        <v>45</v>
      </c>
      <c r="F542" s="1">
        <v>126</v>
      </c>
      <c r="G542" s="1">
        <v>92</v>
      </c>
      <c r="H542" s="1" t="s">
        <v>37</v>
      </c>
      <c r="I542" s="1" t="s">
        <v>16</v>
      </c>
      <c r="J542" s="1" t="s">
        <v>17</v>
      </c>
      <c r="K542" s="1">
        <v>44.24</v>
      </c>
      <c r="L542" s="1">
        <v>39.049999999999997</v>
      </c>
    </row>
    <row r="543" spans="1:12" ht="15.6" x14ac:dyDescent="0.3">
      <c r="A543" s="1" t="s">
        <v>579</v>
      </c>
      <c r="B543" s="1">
        <v>13</v>
      </c>
      <c r="C543" s="1" t="s">
        <v>13</v>
      </c>
      <c r="D543" s="1" t="s">
        <v>50</v>
      </c>
      <c r="E543" s="1" t="s">
        <v>40</v>
      </c>
      <c r="F543" s="1">
        <v>501</v>
      </c>
      <c r="G543" s="1">
        <v>7</v>
      </c>
      <c r="H543" s="1" t="s">
        <v>32</v>
      </c>
      <c r="I543" s="1" t="s">
        <v>16</v>
      </c>
      <c r="J543" s="1" t="s">
        <v>24</v>
      </c>
      <c r="K543" s="1">
        <v>22.93</v>
      </c>
      <c r="L543" s="1">
        <v>29.99</v>
      </c>
    </row>
    <row r="544" spans="1:12" ht="15.6" x14ac:dyDescent="0.3">
      <c r="A544" s="1" t="s">
        <v>580</v>
      </c>
      <c r="B544" s="1">
        <v>47</v>
      </c>
      <c r="C544" s="1" t="s">
        <v>19</v>
      </c>
      <c r="D544" s="1" t="s">
        <v>35</v>
      </c>
      <c r="E544" s="1" t="s">
        <v>31</v>
      </c>
      <c r="F544" s="1">
        <v>247</v>
      </c>
      <c r="G544" s="1">
        <v>300</v>
      </c>
      <c r="H544" s="1" t="s">
        <v>37</v>
      </c>
      <c r="I544" s="1" t="s">
        <v>16</v>
      </c>
      <c r="J544" s="1" t="s">
        <v>24</v>
      </c>
      <c r="K544" s="1">
        <v>81.2</v>
      </c>
      <c r="L544" s="1">
        <v>68.97</v>
      </c>
    </row>
    <row r="545" spans="1:12" ht="15.6" x14ac:dyDescent="0.3">
      <c r="A545" s="1" t="s">
        <v>581</v>
      </c>
      <c r="B545" s="1">
        <v>52</v>
      </c>
      <c r="C545" s="1" t="s">
        <v>29</v>
      </c>
      <c r="D545" s="1" t="s">
        <v>14</v>
      </c>
      <c r="E545" s="1" t="s">
        <v>2</v>
      </c>
      <c r="F545" s="1">
        <v>93</v>
      </c>
      <c r="G545" s="1">
        <v>104</v>
      </c>
      <c r="H545" s="1" t="s">
        <v>32</v>
      </c>
      <c r="I545" s="1" t="s">
        <v>16</v>
      </c>
      <c r="J545" s="1" t="s">
        <v>24</v>
      </c>
      <c r="K545" s="1">
        <v>88.59</v>
      </c>
      <c r="L545" s="1">
        <v>56.95</v>
      </c>
    </row>
    <row r="546" spans="1:12" ht="15.6" x14ac:dyDescent="0.3">
      <c r="A546" s="1" t="s">
        <v>582</v>
      </c>
      <c r="B546" s="1">
        <v>30</v>
      </c>
      <c r="C546" s="1" t="s">
        <v>26</v>
      </c>
      <c r="D546" s="1" t="s">
        <v>30</v>
      </c>
      <c r="E546" s="1" t="s">
        <v>40</v>
      </c>
      <c r="F546" s="1">
        <v>359</v>
      </c>
      <c r="G546" s="1">
        <v>191</v>
      </c>
      <c r="H546" s="1" t="s">
        <v>48</v>
      </c>
      <c r="I546" s="1" t="s">
        <v>23</v>
      </c>
      <c r="J546" s="1" t="s">
        <v>38</v>
      </c>
      <c r="K546" s="1">
        <v>58.3</v>
      </c>
      <c r="L546" s="1">
        <v>16.079999999999998</v>
      </c>
    </row>
    <row r="547" spans="1:12" ht="15.6" x14ac:dyDescent="0.3">
      <c r="A547" s="1" t="s">
        <v>583</v>
      </c>
      <c r="B547" s="1">
        <v>14</v>
      </c>
      <c r="C547" s="1" t="s">
        <v>29</v>
      </c>
      <c r="D547" s="1" t="s">
        <v>27</v>
      </c>
      <c r="E547" s="1" t="s">
        <v>40</v>
      </c>
      <c r="F547" s="1">
        <v>542</v>
      </c>
      <c r="G547" s="1">
        <v>204</v>
      </c>
      <c r="H547" s="1" t="s">
        <v>32</v>
      </c>
      <c r="I547" s="1" t="s">
        <v>16</v>
      </c>
      <c r="J547" s="1" t="s">
        <v>38</v>
      </c>
      <c r="K547" s="1">
        <v>77.150000000000006</v>
      </c>
      <c r="L547" s="1">
        <v>22</v>
      </c>
    </row>
    <row r="548" spans="1:12" ht="15.6" x14ac:dyDescent="0.3">
      <c r="A548" s="1" t="s">
        <v>584</v>
      </c>
      <c r="B548" s="1">
        <v>25</v>
      </c>
      <c r="C548" s="1" t="s">
        <v>34</v>
      </c>
      <c r="D548" s="1" t="s">
        <v>20</v>
      </c>
      <c r="E548" s="1" t="s">
        <v>40</v>
      </c>
      <c r="F548" s="1">
        <v>58</v>
      </c>
      <c r="G548" s="1">
        <v>187</v>
      </c>
      <c r="H548" s="1" t="s">
        <v>22</v>
      </c>
      <c r="I548" s="1" t="s">
        <v>23</v>
      </c>
      <c r="J548" s="1" t="s">
        <v>17</v>
      </c>
      <c r="K548" s="1">
        <v>47.89</v>
      </c>
      <c r="L548" s="1">
        <v>43.58</v>
      </c>
    </row>
    <row r="549" spans="1:12" ht="15.6" x14ac:dyDescent="0.3">
      <c r="A549" s="1" t="s">
        <v>585</v>
      </c>
      <c r="B549" s="1">
        <v>43</v>
      </c>
      <c r="C549" s="1" t="s">
        <v>26</v>
      </c>
      <c r="D549" s="1" t="s">
        <v>14</v>
      </c>
      <c r="E549" s="1" t="s">
        <v>36</v>
      </c>
      <c r="F549" s="1">
        <v>511</v>
      </c>
      <c r="G549" s="1">
        <v>138</v>
      </c>
      <c r="H549" s="1" t="s">
        <v>48</v>
      </c>
      <c r="I549" s="1" t="s">
        <v>16</v>
      </c>
      <c r="J549" s="1" t="s">
        <v>17</v>
      </c>
      <c r="K549" s="1">
        <v>69.25</v>
      </c>
      <c r="L549" s="1">
        <v>18.28</v>
      </c>
    </row>
    <row r="550" spans="1:12" ht="15.6" x14ac:dyDescent="0.3">
      <c r="A550" s="1" t="s">
        <v>586</v>
      </c>
      <c r="B550" s="1">
        <v>56</v>
      </c>
      <c r="C550" s="1" t="s">
        <v>13</v>
      </c>
      <c r="D550" s="1" t="s">
        <v>20</v>
      </c>
      <c r="E550" s="1" t="s">
        <v>45</v>
      </c>
      <c r="F550" s="1">
        <v>453</v>
      </c>
      <c r="G550" s="1">
        <v>481</v>
      </c>
      <c r="H550" s="1" t="s">
        <v>48</v>
      </c>
      <c r="I550" s="1" t="s">
        <v>16</v>
      </c>
      <c r="J550" s="1" t="s">
        <v>24</v>
      </c>
      <c r="K550" s="1">
        <v>66.09</v>
      </c>
      <c r="L550" s="1">
        <v>63.35</v>
      </c>
    </row>
    <row r="551" spans="1:12" ht="15.6" x14ac:dyDescent="0.3">
      <c r="A551" s="1" t="s">
        <v>587</v>
      </c>
      <c r="B551" s="1">
        <v>38</v>
      </c>
      <c r="C551" s="1" t="s">
        <v>26</v>
      </c>
      <c r="D551" s="1" t="s">
        <v>50</v>
      </c>
      <c r="E551" s="1" t="s">
        <v>45</v>
      </c>
      <c r="F551" s="1">
        <v>245</v>
      </c>
      <c r="G551" s="1">
        <v>144</v>
      </c>
      <c r="H551" s="1" t="s">
        <v>37</v>
      </c>
      <c r="I551" s="1" t="s">
        <v>23</v>
      </c>
      <c r="J551" s="1" t="s">
        <v>17</v>
      </c>
      <c r="K551" s="1">
        <v>43.98</v>
      </c>
      <c r="L551" s="1">
        <v>32.659999999999997</v>
      </c>
    </row>
    <row r="552" spans="1:12" ht="15.6" x14ac:dyDescent="0.3">
      <c r="A552" s="1" t="s">
        <v>588</v>
      </c>
      <c r="B552" s="1">
        <v>23</v>
      </c>
      <c r="C552" s="1" t="s">
        <v>13</v>
      </c>
      <c r="D552" s="1" t="s">
        <v>35</v>
      </c>
      <c r="E552" s="1" t="s">
        <v>31</v>
      </c>
      <c r="F552" s="1">
        <v>517</v>
      </c>
      <c r="G552" s="1">
        <v>344</v>
      </c>
      <c r="H552" s="1" t="s">
        <v>37</v>
      </c>
      <c r="I552" s="1" t="s">
        <v>16</v>
      </c>
      <c r="J552" s="1" t="s">
        <v>38</v>
      </c>
      <c r="K552" s="1">
        <v>66.86</v>
      </c>
      <c r="L552" s="1">
        <v>49.34</v>
      </c>
    </row>
    <row r="553" spans="1:12" ht="15.6" x14ac:dyDescent="0.3">
      <c r="A553" s="1" t="s">
        <v>589</v>
      </c>
      <c r="B553" s="1">
        <v>14</v>
      </c>
      <c r="C553" s="1" t="s">
        <v>13</v>
      </c>
      <c r="D553" s="1" t="s">
        <v>50</v>
      </c>
      <c r="E553" s="1" t="s">
        <v>40</v>
      </c>
      <c r="F553" s="1">
        <v>207</v>
      </c>
      <c r="G553" s="1">
        <v>484</v>
      </c>
      <c r="H553" s="1" t="s">
        <v>15</v>
      </c>
      <c r="I553" s="1" t="s">
        <v>16</v>
      </c>
      <c r="J553" s="1" t="s">
        <v>17</v>
      </c>
      <c r="K553" s="1">
        <v>85.84</v>
      </c>
      <c r="L553" s="1">
        <v>51.9</v>
      </c>
    </row>
    <row r="554" spans="1:12" ht="15.6" x14ac:dyDescent="0.3">
      <c r="A554" s="1" t="s">
        <v>590</v>
      </c>
      <c r="B554" s="1">
        <v>55</v>
      </c>
      <c r="C554" s="1" t="s">
        <v>26</v>
      </c>
      <c r="D554" s="1" t="s">
        <v>27</v>
      </c>
      <c r="E554" s="1" t="s">
        <v>45</v>
      </c>
      <c r="F554" s="1">
        <v>197</v>
      </c>
      <c r="G554" s="1">
        <v>231</v>
      </c>
      <c r="H554" s="1" t="s">
        <v>37</v>
      </c>
      <c r="I554" s="1" t="s">
        <v>23</v>
      </c>
      <c r="J554" s="1" t="s">
        <v>38</v>
      </c>
      <c r="K554" s="1">
        <v>70.91</v>
      </c>
      <c r="L554" s="1">
        <v>9.4499999999999993</v>
      </c>
    </row>
    <row r="555" spans="1:12" ht="15.6" x14ac:dyDescent="0.3">
      <c r="A555" s="1" t="s">
        <v>591</v>
      </c>
      <c r="B555" s="1">
        <v>52</v>
      </c>
      <c r="C555" s="1" t="s">
        <v>13</v>
      </c>
      <c r="D555" s="1" t="s">
        <v>30</v>
      </c>
      <c r="E555" s="1" t="s">
        <v>31</v>
      </c>
      <c r="F555" s="1">
        <v>322</v>
      </c>
      <c r="G555" s="1">
        <v>372</v>
      </c>
      <c r="H555" s="1" t="s">
        <v>15</v>
      </c>
      <c r="I555" s="1" t="s">
        <v>16</v>
      </c>
      <c r="J555" s="1" t="s">
        <v>38</v>
      </c>
      <c r="K555" s="1">
        <v>32.08</v>
      </c>
      <c r="L555" s="1">
        <v>39.94</v>
      </c>
    </row>
    <row r="556" spans="1:12" ht="15.6" x14ac:dyDescent="0.3">
      <c r="A556" s="1" t="s">
        <v>592</v>
      </c>
      <c r="B556" s="1">
        <v>40</v>
      </c>
      <c r="C556" s="1" t="s">
        <v>13</v>
      </c>
      <c r="D556" s="1" t="s">
        <v>27</v>
      </c>
      <c r="E556" s="1" t="s">
        <v>31</v>
      </c>
      <c r="F556" s="1">
        <v>190</v>
      </c>
      <c r="G556" s="1">
        <v>388</v>
      </c>
      <c r="H556" s="1" t="s">
        <v>22</v>
      </c>
      <c r="I556" s="1" t="s">
        <v>23</v>
      </c>
      <c r="J556" s="1" t="s">
        <v>24</v>
      </c>
      <c r="K556" s="1">
        <v>77.12</v>
      </c>
      <c r="L556" s="1">
        <v>34.11</v>
      </c>
    </row>
    <row r="557" spans="1:12" ht="15.6" x14ac:dyDescent="0.3">
      <c r="A557" s="1" t="s">
        <v>593</v>
      </c>
      <c r="B557" s="1">
        <v>25</v>
      </c>
      <c r="C557" s="1" t="s">
        <v>19</v>
      </c>
      <c r="D557" s="1" t="s">
        <v>30</v>
      </c>
      <c r="E557" s="1" t="s">
        <v>40</v>
      </c>
      <c r="F557" s="1">
        <v>386</v>
      </c>
      <c r="G557" s="1">
        <v>246</v>
      </c>
      <c r="H557" s="1" t="s">
        <v>48</v>
      </c>
      <c r="I557" s="1" t="s">
        <v>23</v>
      </c>
      <c r="J557" s="1" t="s">
        <v>17</v>
      </c>
      <c r="K557" s="1">
        <v>41.87</v>
      </c>
      <c r="L557" s="1">
        <v>15.24</v>
      </c>
    </row>
    <row r="558" spans="1:12" ht="15.6" x14ac:dyDescent="0.3">
      <c r="A558" s="1" t="s">
        <v>594</v>
      </c>
      <c r="B558" s="1">
        <v>17</v>
      </c>
      <c r="C558" s="1" t="s">
        <v>34</v>
      </c>
      <c r="D558" s="1" t="s">
        <v>35</v>
      </c>
      <c r="E558" s="1" t="s">
        <v>40</v>
      </c>
      <c r="F558" s="1">
        <v>65</v>
      </c>
      <c r="G558" s="1">
        <v>318</v>
      </c>
      <c r="H558" s="1" t="s">
        <v>15</v>
      </c>
      <c r="I558" s="1" t="s">
        <v>23</v>
      </c>
      <c r="J558" s="1" t="s">
        <v>17</v>
      </c>
      <c r="K558" s="1">
        <v>28.48</v>
      </c>
      <c r="L558" s="1">
        <v>13.72</v>
      </c>
    </row>
    <row r="559" spans="1:12" ht="15.6" x14ac:dyDescent="0.3">
      <c r="A559" s="1" t="s">
        <v>595</v>
      </c>
      <c r="B559" s="1">
        <v>21</v>
      </c>
      <c r="C559" s="1" t="s">
        <v>13</v>
      </c>
      <c r="D559" s="1" t="s">
        <v>30</v>
      </c>
      <c r="E559" s="1" t="s">
        <v>45</v>
      </c>
      <c r="F559" s="1">
        <v>235</v>
      </c>
      <c r="G559" s="1">
        <v>419</v>
      </c>
      <c r="H559" s="1" t="s">
        <v>48</v>
      </c>
      <c r="I559" s="1" t="s">
        <v>23</v>
      </c>
      <c r="J559" s="1" t="s">
        <v>17</v>
      </c>
      <c r="K559" s="1">
        <v>55.27</v>
      </c>
      <c r="L559" s="1">
        <v>34.21</v>
      </c>
    </row>
    <row r="560" spans="1:12" ht="15.6" x14ac:dyDescent="0.3">
      <c r="A560" s="1" t="s">
        <v>596</v>
      </c>
      <c r="B560" s="1">
        <v>16</v>
      </c>
      <c r="C560" s="1" t="s">
        <v>29</v>
      </c>
      <c r="D560" s="1" t="s">
        <v>27</v>
      </c>
      <c r="E560" s="1" t="s">
        <v>21</v>
      </c>
      <c r="F560" s="1">
        <v>400</v>
      </c>
      <c r="G560" s="1">
        <v>335</v>
      </c>
      <c r="H560" s="1" t="s">
        <v>32</v>
      </c>
      <c r="I560" s="1" t="s">
        <v>23</v>
      </c>
      <c r="J560" s="1" t="s">
        <v>38</v>
      </c>
      <c r="K560" s="1">
        <v>54.39</v>
      </c>
      <c r="L560" s="1">
        <v>20.58</v>
      </c>
    </row>
    <row r="561" spans="1:12" ht="15.6" x14ac:dyDescent="0.3">
      <c r="A561" s="1" t="s">
        <v>597</v>
      </c>
      <c r="B561" s="1">
        <v>57</v>
      </c>
      <c r="C561" s="1" t="s">
        <v>13</v>
      </c>
      <c r="D561" s="1" t="s">
        <v>14</v>
      </c>
      <c r="E561" s="1" t="s">
        <v>21</v>
      </c>
      <c r="F561" s="1">
        <v>436</v>
      </c>
      <c r="G561" s="1">
        <v>228</v>
      </c>
      <c r="H561" s="1" t="s">
        <v>22</v>
      </c>
      <c r="I561" s="1" t="s">
        <v>23</v>
      </c>
      <c r="J561" s="1" t="s">
        <v>24</v>
      </c>
      <c r="K561" s="1">
        <v>27.04</v>
      </c>
      <c r="L561" s="1">
        <v>47.41</v>
      </c>
    </row>
    <row r="562" spans="1:12" ht="15.6" x14ac:dyDescent="0.3">
      <c r="A562" s="1" t="s">
        <v>598</v>
      </c>
      <c r="B562" s="1">
        <v>42</v>
      </c>
      <c r="C562" s="1" t="s">
        <v>26</v>
      </c>
      <c r="D562" s="1" t="s">
        <v>50</v>
      </c>
      <c r="E562" s="1" t="s">
        <v>40</v>
      </c>
      <c r="F562" s="1">
        <v>599</v>
      </c>
      <c r="G562" s="1">
        <v>345</v>
      </c>
      <c r="H562" s="1" t="s">
        <v>32</v>
      </c>
      <c r="I562" s="1" t="s">
        <v>16</v>
      </c>
      <c r="J562" s="1" t="s">
        <v>24</v>
      </c>
      <c r="K562" s="1">
        <v>59.78</v>
      </c>
      <c r="L562" s="1">
        <v>57.5</v>
      </c>
    </row>
    <row r="563" spans="1:12" ht="15.6" x14ac:dyDescent="0.3">
      <c r="A563" s="1" t="s">
        <v>599</v>
      </c>
      <c r="B563" s="1">
        <v>39</v>
      </c>
      <c r="C563" s="1" t="s">
        <v>34</v>
      </c>
      <c r="D563" s="1" t="s">
        <v>35</v>
      </c>
      <c r="E563" s="1" t="s">
        <v>45</v>
      </c>
      <c r="F563" s="1">
        <v>491</v>
      </c>
      <c r="G563" s="1">
        <v>418</v>
      </c>
      <c r="H563" s="1" t="s">
        <v>48</v>
      </c>
      <c r="I563" s="1" t="s">
        <v>16</v>
      </c>
      <c r="J563" s="1" t="s">
        <v>24</v>
      </c>
      <c r="K563" s="1">
        <v>74.5</v>
      </c>
      <c r="L563" s="1">
        <v>15.52</v>
      </c>
    </row>
    <row r="564" spans="1:12" ht="15.6" x14ac:dyDescent="0.3">
      <c r="A564" s="1" t="s">
        <v>600</v>
      </c>
      <c r="B564" s="1">
        <v>50</v>
      </c>
      <c r="C564" s="1" t="s">
        <v>29</v>
      </c>
      <c r="D564" s="1" t="s">
        <v>30</v>
      </c>
      <c r="E564" s="1" t="s">
        <v>40</v>
      </c>
      <c r="F564" s="1">
        <v>497</v>
      </c>
      <c r="G564" s="1">
        <v>430</v>
      </c>
      <c r="H564" s="1" t="s">
        <v>48</v>
      </c>
      <c r="I564" s="1" t="s">
        <v>23</v>
      </c>
      <c r="J564" s="1" t="s">
        <v>38</v>
      </c>
      <c r="K564" s="1">
        <v>31.38</v>
      </c>
      <c r="L564" s="1">
        <v>57.08</v>
      </c>
    </row>
    <row r="565" spans="1:12" ht="15.6" x14ac:dyDescent="0.3">
      <c r="A565" s="1" t="s">
        <v>601</v>
      </c>
      <c r="B565" s="1">
        <v>55</v>
      </c>
      <c r="C565" s="1" t="s">
        <v>29</v>
      </c>
      <c r="D565" s="1" t="s">
        <v>27</v>
      </c>
      <c r="E565" s="1" t="s">
        <v>21</v>
      </c>
      <c r="F565" s="1">
        <v>212</v>
      </c>
      <c r="G565" s="1">
        <v>190</v>
      </c>
      <c r="H565" s="1" t="s">
        <v>22</v>
      </c>
      <c r="I565" s="1" t="s">
        <v>23</v>
      </c>
      <c r="J565" s="1" t="s">
        <v>17</v>
      </c>
      <c r="K565" s="1">
        <v>79.98</v>
      </c>
      <c r="L565" s="1">
        <v>50.46</v>
      </c>
    </row>
    <row r="566" spans="1:12" ht="15.6" x14ac:dyDescent="0.3">
      <c r="A566" s="1" t="s">
        <v>602</v>
      </c>
      <c r="B566" s="1">
        <v>45</v>
      </c>
      <c r="C566" s="1" t="s">
        <v>34</v>
      </c>
      <c r="D566" s="1" t="s">
        <v>50</v>
      </c>
      <c r="E566" s="1" t="s">
        <v>21</v>
      </c>
      <c r="F566" s="1">
        <v>391</v>
      </c>
      <c r="G566" s="1">
        <v>10</v>
      </c>
      <c r="H566" s="1" t="s">
        <v>37</v>
      </c>
      <c r="I566" s="1" t="s">
        <v>23</v>
      </c>
      <c r="J566" s="1" t="s">
        <v>38</v>
      </c>
      <c r="K566" s="1">
        <v>44.21</v>
      </c>
      <c r="L566" s="1">
        <v>40.5</v>
      </c>
    </row>
    <row r="567" spans="1:12" ht="15.6" x14ac:dyDescent="0.3">
      <c r="A567" s="1" t="s">
        <v>603</v>
      </c>
      <c r="B567" s="1">
        <v>48</v>
      </c>
      <c r="C567" s="1" t="s">
        <v>34</v>
      </c>
      <c r="D567" s="1" t="s">
        <v>50</v>
      </c>
      <c r="E567" s="1" t="s">
        <v>31</v>
      </c>
      <c r="F567" s="1">
        <v>378</v>
      </c>
      <c r="G567" s="1">
        <v>255</v>
      </c>
      <c r="H567" s="1" t="s">
        <v>22</v>
      </c>
      <c r="I567" s="1" t="s">
        <v>23</v>
      </c>
      <c r="J567" s="1" t="s">
        <v>38</v>
      </c>
      <c r="K567" s="1">
        <v>47.71</v>
      </c>
      <c r="L567" s="1">
        <v>8.0500000000000007</v>
      </c>
    </row>
    <row r="568" spans="1:12" ht="15.6" x14ac:dyDescent="0.3">
      <c r="A568" s="1" t="s">
        <v>604</v>
      </c>
      <c r="B568" s="1">
        <v>24</v>
      </c>
      <c r="C568" s="1" t="s">
        <v>26</v>
      </c>
      <c r="D568" s="1" t="s">
        <v>20</v>
      </c>
      <c r="E568" s="1" t="s">
        <v>31</v>
      </c>
      <c r="F568" s="1">
        <v>211</v>
      </c>
      <c r="G568" s="1">
        <v>177</v>
      </c>
      <c r="H568" s="1" t="s">
        <v>15</v>
      </c>
      <c r="I568" s="1" t="s">
        <v>16</v>
      </c>
      <c r="J568" s="1" t="s">
        <v>38</v>
      </c>
      <c r="K568" s="1">
        <v>78.930000000000007</v>
      </c>
      <c r="L568" s="1">
        <v>12.64</v>
      </c>
    </row>
    <row r="569" spans="1:12" ht="15.6" x14ac:dyDescent="0.3">
      <c r="A569" s="1" t="s">
        <v>605</v>
      </c>
      <c r="B569" s="1">
        <v>24</v>
      </c>
      <c r="C569" s="1" t="s">
        <v>19</v>
      </c>
      <c r="D569" s="1" t="s">
        <v>30</v>
      </c>
      <c r="E569" s="1" t="s">
        <v>31</v>
      </c>
      <c r="F569" s="1">
        <v>274</v>
      </c>
      <c r="G569" s="1">
        <v>316</v>
      </c>
      <c r="H569" s="1" t="s">
        <v>48</v>
      </c>
      <c r="I569" s="1" t="s">
        <v>23</v>
      </c>
      <c r="J569" s="1" t="s">
        <v>24</v>
      </c>
      <c r="K569" s="1">
        <v>32.44</v>
      </c>
      <c r="L569" s="1">
        <v>42.42</v>
      </c>
    </row>
    <row r="570" spans="1:12" ht="15.6" x14ac:dyDescent="0.3">
      <c r="A570" s="1" t="s">
        <v>606</v>
      </c>
      <c r="B570" s="1">
        <v>46</v>
      </c>
      <c r="C570" s="1" t="s">
        <v>34</v>
      </c>
      <c r="D570" s="1" t="s">
        <v>35</v>
      </c>
      <c r="E570" s="1" t="s">
        <v>31</v>
      </c>
      <c r="F570" s="1">
        <v>286</v>
      </c>
      <c r="G570" s="1">
        <v>35</v>
      </c>
      <c r="H570" s="1" t="s">
        <v>48</v>
      </c>
      <c r="I570" s="1" t="s">
        <v>23</v>
      </c>
      <c r="J570" s="1" t="s">
        <v>38</v>
      </c>
      <c r="K570" s="1">
        <v>20.76</v>
      </c>
      <c r="L570" s="1">
        <v>42.31</v>
      </c>
    </row>
    <row r="571" spans="1:12" ht="15.6" x14ac:dyDescent="0.3">
      <c r="A571" s="1" t="s">
        <v>607</v>
      </c>
      <c r="B571" s="1">
        <v>40</v>
      </c>
      <c r="C571" s="1" t="s">
        <v>34</v>
      </c>
      <c r="D571" s="1" t="s">
        <v>30</v>
      </c>
      <c r="E571" s="1" t="s">
        <v>21</v>
      </c>
      <c r="F571" s="1">
        <v>346</v>
      </c>
      <c r="G571" s="1">
        <v>132</v>
      </c>
      <c r="H571" s="1" t="s">
        <v>22</v>
      </c>
      <c r="I571" s="1" t="s">
        <v>16</v>
      </c>
      <c r="J571" s="1" t="s">
        <v>17</v>
      </c>
      <c r="K571" s="1">
        <v>21.72</v>
      </c>
      <c r="L571" s="1">
        <v>58.18</v>
      </c>
    </row>
    <row r="572" spans="1:12" ht="15.6" x14ac:dyDescent="0.3">
      <c r="A572" s="1" t="s">
        <v>608</v>
      </c>
      <c r="B572" s="1">
        <v>39</v>
      </c>
      <c r="C572" s="1" t="s">
        <v>26</v>
      </c>
      <c r="D572" s="1" t="s">
        <v>30</v>
      </c>
      <c r="E572" s="1" t="s">
        <v>2</v>
      </c>
      <c r="F572" s="1">
        <v>363</v>
      </c>
      <c r="G572" s="1">
        <v>235</v>
      </c>
      <c r="H572" s="1" t="s">
        <v>22</v>
      </c>
      <c r="I572" s="1" t="s">
        <v>23</v>
      </c>
      <c r="J572" s="1" t="s">
        <v>17</v>
      </c>
      <c r="K572" s="1">
        <v>32.14</v>
      </c>
      <c r="L572" s="1">
        <v>75.37</v>
      </c>
    </row>
    <row r="573" spans="1:12" ht="15.6" x14ac:dyDescent="0.3">
      <c r="A573" s="1" t="s">
        <v>609</v>
      </c>
      <c r="B573" s="1">
        <v>22</v>
      </c>
      <c r="C573" s="1" t="s">
        <v>34</v>
      </c>
      <c r="D573" s="1" t="s">
        <v>20</v>
      </c>
      <c r="E573" s="1" t="s">
        <v>40</v>
      </c>
      <c r="F573" s="1">
        <v>440</v>
      </c>
      <c r="G573" s="1">
        <v>294</v>
      </c>
      <c r="H573" s="1" t="s">
        <v>37</v>
      </c>
      <c r="I573" s="1" t="s">
        <v>16</v>
      </c>
      <c r="J573" s="1" t="s">
        <v>38</v>
      </c>
      <c r="K573" s="1">
        <v>14.01</v>
      </c>
      <c r="L573" s="1">
        <v>24.36</v>
      </c>
    </row>
    <row r="574" spans="1:12" ht="15.6" x14ac:dyDescent="0.3">
      <c r="A574" s="1" t="s">
        <v>610</v>
      </c>
      <c r="B574" s="1">
        <v>23</v>
      </c>
      <c r="C574" s="1" t="s">
        <v>13</v>
      </c>
      <c r="D574" s="1" t="s">
        <v>35</v>
      </c>
      <c r="E574" s="1" t="s">
        <v>45</v>
      </c>
      <c r="F574" s="1">
        <v>358</v>
      </c>
      <c r="G574" s="1">
        <v>438</v>
      </c>
      <c r="H574" s="1" t="s">
        <v>37</v>
      </c>
      <c r="I574" s="1" t="s">
        <v>16</v>
      </c>
      <c r="J574" s="1" t="s">
        <v>17</v>
      </c>
      <c r="K574" s="1">
        <v>58.55</v>
      </c>
      <c r="L574" s="1">
        <v>41.22</v>
      </c>
    </row>
    <row r="575" spans="1:12" ht="15.6" x14ac:dyDescent="0.3">
      <c r="A575" s="1" t="s">
        <v>611</v>
      </c>
      <c r="B575" s="1">
        <v>29</v>
      </c>
      <c r="C575" s="1" t="s">
        <v>13</v>
      </c>
      <c r="D575" s="1" t="s">
        <v>14</v>
      </c>
      <c r="E575" s="1" t="s">
        <v>21</v>
      </c>
      <c r="F575" s="1">
        <v>334</v>
      </c>
      <c r="G575" s="1">
        <v>262</v>
      </c>
      <c r="H575" s="1" t="s">
        <v>22</v>
      </c>
      <c r="I575" s="1" t="s">
        <v>16</v>
      </c>
      <c r="J575" s="1" t="s">
        <v>24</v>
      </c>
      <c r="K575" s="1">
        <v>83.26</v>
      </c>
      <c r="L575" s="1">
        <v>79.48</v>
      </c>
    </row>
    <row r="576" spans="1:12" ht="15.6" x14ac:dyDescent="0.3">
      <c r="A576" s="1" t="s">
        <v>612</v>
      </c>
      <c r="B576" s="1">
        <v>24</v>
      </c>
      <c r="C576" s="1" t="s">
        <v>13</v>
      </c>
      <c r="D576" s="1" t="s">
        <v>20</v>
      </c>
      <c r="E576" s="1" t="s">
        <v>40</v>
      </c>
      <c r="F576" s="1">
        <v>62</v>
      </c>
      <c r="G576" s="1">
        <v>433</v>
      </c>
      <c r="H576" s="1" t="s">
        <v>32</v>
      </c>
      <c r="I576" s="1" t="s">
        <v>23</v>
      </c>
      <c r="J576" s="1" t="s">
        <v>24</v>
      </c>
      <c r="K576" s="1">
        <v>34.76</v>
      </c>
      <c r="L576" s="1">
        <v>74.13</v>
      </c>
    </row>
    <row r="577" spans="1:12" ht="15.6" x14ac:dyDescent="0.3">
      <c r="A577" s="1" t="s">
        <v>613</v>
      </c>
      <c r="B577" s="1">
        <v>18</v>
      </c>
      <c r="C577" s="1" t="s">
        <v>34</v>
      </c>
      <c r="D577" s="1" t="s">
        <v>30</v>
      </c>
      <c r="E577" s="1" t="s">
        <v>31</v>
      </c>
      <c r="F577" s="1">
        <v>388</v>
      </c>
      <c r="G577" s="1">
        <v>62</v>
      </c>
      <c r="H577" s="1" t="s">
        <v>15</v>
      </c>
      <c r="I577" s="1" t="s">
        <v>16</v>
      </c>
      <c r="J577" s="1" t="s">
        <v>38</v>
      </c>
      <c r="K577" s="1">
        <v>59.32</v>
      </c>
      <c r="L577" s="1">
        <v>71.319999999999993</v>
      </c>
    </row>
    <row r="578" spans="1:12" ht="15.6" x14ac:dyDescent="0.3">
      <c r="A578" s="1" t="s">
        <v>614</v>
      </c>
      <c r="B578" s="1">
        <v>22</v>
      </c>
      <c r="C578" s="1" t="s">
        <v>26</v>
      </c>
      <c r="D578" s="1" t="s">
        <v>30</v>
      </c>
      <c r="E578" s="1" t="s">
        <v>40</v>
      </c>
      <c r="F578" s="1">
        <v>105</v>
      </c>
      <c r="G578" s="1">
        <v>459</v>
      </c>
      <c r="H578" s="1" t="s">
        <v>37</v>
      </c>
      <c r="I578" s="1" t="s">
        <v>23</v>
      </c>
      <c r="J578" s="1" t="s">
        <v>38</v>
      </c>
      <c r="K578" s="1">
        <v>61.69</v>
      </c>
      <c r="L578" s="1">
        <v>42.98</v>
      </c>
    </row>
    <row r="579" spans="1:12" ht="15.6" x14ac:dyDescent="0.3">
      <c r="A579" s="1" t="s">
        <v>615</v>
      </c>
      <c r="B579" s="1">
        <v>36</v>
      </c>
      <c r="C579" s="1" t="s">
        <v>34</v>
      </c>
      <c r="D579" s="1" t="s">
        <v>14</v>
      </c>
      <c r="E579" s="1" t="s">
        <v>21</v>
      </c>
      <c r="F579" s="1">
        <v>205</v>
      </c>
      <c r="G579" s="1">
        <v>470</v>
      </c>
      <c r="H579" s="1" t="s">
        <v>22</v>
      </c>
      <c r="I579" s="1" t="s">
        <v>16</v>
      </c>
      <c r="J579" s="1" t="s">
        <v>24</v>
      </c>
      <c r="K579" s="1">
        <v>50.32</v>
      </c>
      <c r="L579" s="1">
        <v>13.86</v>
      </c>
    </row>
    <row r="580" spans="1:12" ht="15.6" x14ac:dyDescent="0.3">
      <c r="A580" s="1" t="s">
        <v>616</v>
      </c>
      <c r="B580" s="1">
        <v>17</v>
      </c>
      <c r="C580" s="1" t="s">
        <v>29</v>
      </c>
      <c r="D580" s="1" t="s">
        <v>35</v>
      </c>
      <c r="E580" s="1" t="s">
        <v>36</v>
      </c>
      <c r="F580" s="1">
        <v>238</v>
      </c>
      <c r="G580" s="1">
        <v>436</v>
      </c>
      <c r="H580" s="1" t="s">
        <v>37</v>
      </c>
      <c r="I580" s="1" t="s">
        <v>16</v>
      </c>
      <c r="J580" s="1" t="s">
        <v>38</v>
      </c>
      <c r="K580" s="1">
        <v>14.39</v>
      </c>
      <c r="L580" s="1">
        <v>55.67</v>
      </c>
    </row>
    <row r="581" spans="1:12" ht="15.6" x14ac:dyDescent="0.3">
      <c r="A581" s="1" t="s">
        <v>617</v>
      </c>
      <c r="B581" s="1">
        <v>51</v>
      </c>
      <c r="C581" s="1" t="s">
        <v>26</v>
      </c>
      <c r="D581" s="1" t="s">
        <v>30</v>
      </c>
      <c r="E581" s="1" t="s">
        <v>36</v>
      </c>
      <c r="F581" s="1">
        <v>56</v>
      </c>
      <c r="G581" s="1">
        <v>358</v>
      </c>
      <c r="H581" s="1" t="s">
        <v>15</v>
      </c>
      <c r="I581" s="1" t="s">
        <v>16</v>
      </c>
      <c r="J581" s="1" t="s">
        <v>24</v>
      </c>
      <c r="K581" s="1">
        <v>56.75</v>
      </c>
      <c r="L581" s="1">
        <v>62.11</v>
      </c>
    </row>
    <row r="582" spans="1:12" ht="15.6" x14ac:dyDescent="0.3">
      <c r="A582" s="1" t="s">
        <v>618</v>
      </c>
      <c r="B582" s="1">
        <v>59</v>
      </c>
      <c r="C582" s="1" t="s">
        <v>34</v>
      </c>
      <c r="D582" s="1" t="s">
        <v>27</v>
      </c>
      <c r="E582" s="1" t="s">
        <v>40</v>
      </c>
      <c r="F582" s="1">
        <v>443</v>
      </c>
      <c r="G582" s="1">
        <v>290</v>
      </c>
      <c r="H582" s="1" t="s">
        <v>22</v>
      </c>
      <c r="I582" s="1" t="s">
        <v>16</v>
      </c>
      <c r="J582" s="1" t="s">
        <v>24</v>
      </c>
      <c r="K582" s="1">
        <v>79.16</v>
      </c>
      <c r="L582" s="1">
        <v>15.98</v>
      </c>
    </row>
    <row r="583" spans="1:12" ht="15.6" x14ac:dyDescent="0.3">
      <c r="A583" s="1" t="s">
        <v>619</v>
      </c>
      <c r="B583" s="1">
        <v>24</v>
      </c>
      <c r="C583" s="1" t="s">
        <v>13</v>
      </c>
      <c r="D583" s="1" t="s">
        <v>35</v>
      </c>
      <c r="E583" s="1" t="s">
        <v>31</v>
      </c>
      <c r="F583" s="1">
        <v>443</v>
      </c>
      <c r="G583" s="1">
        <v>114</v>
      </c>
      <c r="H583" s="1" t="s">
        <v>48</v>
      </c>
      <c r="I583" s="1" t="s">
        <v>23</v>
      </c>
      <c r="J583" s="1" t="s">
        <v>17</v>
      </c>
      <c r="K583" s="1">
        <v>82.95</v>
      </c>
      <c r="L583" s="1">
        <v>74.17</v>
      </c>
    </row>
    <row r="584" spans="1:12" ht="15.6" x14ac:dyDescent="0.3">
      <c r="A584" s="1" t="s">
        <v>620</v>
      </c>
      <c r="B584" s="1">
        <v>49</v>
      </c>
      <c r="C584" s="1" t="s">
        <v>29</v>
      </c>
      <c r="D584" s="1" t="s">
        <v>50</v>
      </c>
      <c r="E584" s="1" t="s">
        <v>45</v>
      </c>
      <c r="F584" s="1">
        <v>65</v>
      </c>
      <c r="G584" s="1">
        <v>15</v>
      </c>
      <c r="H584" s="1" t="s">
        <v>37</v>
      </c>
      <c r="I584" s="1" t="s">
        <v>16</v>
      </c>
      <c r="J584" s="1" t="s">
        <v>24</v>
      </c>
      <c r="K584" s="1">
        <v>40.14</v>
      </c>
      <c r="L584" s="1">
        <v>79.92</v>
      </c>
    </row>
    <row r="585" spans="1:12" ht="15.6" x14ac:dyDescent="0.3">
      <c r="A585" s="1" t="s">
        <v>621</v>
      </c>
      <c r="B585" s="1">
        <v>18</v>
      </c>
      <c r="C585" s="1" t="s">
        <v>26</v>
      </c>
      <c r="D585" s="1" t="s">
        <v>27</v>
      </c>
      <c r="E585" s="1" t="s">
        <v>21</v>
      </c>
      <c r="F585" s="1">
        <v>239</v>
      </c>
      <c r="G585" s="1">
        <v>141</v>
      </c>
      <c r="H585" s="1" t="s">
        <v>32</v>
      </c>
      <c r="I585" s="1" t="s">
        <v>16</v>
      </c>
      <c r="J585" s="1" t="s">
        <v>17</v>
      </c>
      <c r="K585" s="1">
        <v>87.88</v>
      </c>
      <c r="L585" s="1">
        <v>28.46</v>
      </c>
    </row>
    <row r="586" spans="1:12" ht="15.6" x14ac:dyDescent="0.3">
      <c r="A586" s="1" t="s">
        <v>622</v>
      </c>
      <c r="B586" s="1">
        <v>48</v>
      </c>
      <c r="C586" s="1" t="s">
        <v>34</v>
      </c>
      <c r="D586" s="1" t="s">
        <v>35</v>
      </c>
      <c r="E586" s="1" t="s">
        <v>36</v>
      </c>
      <c r="F586" s="1">
        <v>47</v>
      </c>
      <c r="G586" s="1">
        <v>401</v>
      </c>
      <c r="H586" s="1" t="s">
        <v>32</v>
      </c>
      <c r="I586" s="1" t="s">
        <v>23</v>
      </c>
      <c r="J586" s="1" t="s">
        <v>24</v>
      </c>
      <c r="K586" s="1">
        <v>62.11</v>
      </c>
      <c r="L586" s="1">
        <v>8.42</v>
      </c>
    </row>
    <row r="587" spans="1:12" ht="15.6" x14ac:dyDescent="0.3">
      <c r="A587" s="1" t="s">
        <v>623</v>
      </c>
      <c r="B587" s="1">
        <v>55</v>
      </c>
      <c r="C587" s="1" t="s">
        <v>26</v>
      </c>
      <c r="D587" s="1" t="s">
        <v>35</v>
      </c>
      <c r="E587" s="1" t="s">
        <v>40</v>
      </c>
      <c r="F587" s="1">
        <v>148</v>
      </c>
      <c r="G587" s="1">
        <v>260</v>
      </c>
      <c r="H587" s="1" t="s">
        <v>37</v>
      </c>
      <c r="I587" s="1" t="s">
        <v>23</v>
      </c>
      <c r="J587" s="1" t="s">
        <v>17</v>
      </c>
      <c r="K587" s="1">
        <v>53.51</v>
      </c>
      <c r="L587" s="1">
        <v>26.65</v>
      </c>
    </row>
    <row r="588" spans="1:12" ht="15.6" x14ac:dyDescent="0.3">
      <c r="A588" s="1" t="s">
        <v>624</v>
      </c>
      <c r="B588" s="1">
        <v>28</v>
      </c>
      <c r="C588" s="1" t="s">
        <v>13</v>
      </c>
      <c r="D588" s="1" t="s">
        <v>27</v>
      </c>
      <c r="E588" s="1" t="s">
        <v>31</v>
      </c>
      <c r="F588" s="1">
        <v>494</v>
      </c>
      <c r="G588" s="1">
        <v>181</v>
      </c>
      <c r="H588" s="1" t="s">
        <v>37</v>
      </c>
      <c r="I588" s="1" t="s">
        <v>23</v>
      </c>
      <c r="J588" s="1" t="s">
        <v>17</v>
      </c>
      <c r="K588" s="1">
        <v>34.299999999999997</v>
      </c>
      <c r="L588" s="1">
        <v>79.19</v>
      </c>
    </row>
    <row r="589" spans="1:12" ht="15.6" x14ac:dyDescent="0.3">
      <c r="A589" s="1" t="s">
        <v>625</v>
      </c>
      <c r="B589" s="1">
        <v>47</v>
      </c>
      <c r="C589" s="1" t="s">
        <v>34</v>
      </c>
      <c r="D589" s="1" t="s">
        <v>14</v>
      </c>
      <c r="E589" s="1" t="s">
        <v>45</v>
      </c>
      <c r="F589" s="1">
        <v>511</v>
      </c>
      <c r="G589" s="1">
        <v>345</v>
      </c>
      <c r="H589" s="1" t="s">
        <v>15</v>
      </c>
      <c r="I589" s="1" t="s">
        <v>16</v>
      </c>
      <c r="J589" s="1" t="s">
        <v>24</v>
      </c>
      <c r="K589" s="1">
        <v>50.06</v>
      </c>
      <c r="L589" s="1">
        <v>54.57</v>
      </c>
    </row>
    <row r="590" spans="1:12" ht="15.6" x14ac:dyDescent="0.3">
      <c r="A590" s="1" t="s">
        <v>626</v>
      </c>
      <c r="B590" s="1">
        <v>14</v>
      </c>
      <c r="C590" s="1" t="s">
        <v>19</v>
      </c>
      <c r="D590" s="1" t="s">
        <v>50</v>
      </c>
      <c r="E590" s="1" t="s">
        <v>36</v>
      </c>
      <c r="F590" s="1">
        <v>26</v>
      </c>
      <c r="G590" s="1">
        <v>53</v>
      </c>
      <c r="H590" s="1" t="s">
        <v>48</v>
      </c>
      <c r="I590" s="1" t="s">
        <v>16</v>
      </c>
      <c r="J590" s="1" t="s">
        <v>24</v>
      </c>
      <c r="K590" s="1">
        <v>30.14</v>
      </c>
      <c r="L590" s="1">
        <v>58.67</v>
      </c>
    </row>
    <row r="591" spans="1:12" ht="15.6" x14ac:dyDescent="0.3">
      <c r="A591" s="1" t="s">
        <v>627</v>
      </c>
      <c r="B591" s="1">
        <v>55</v>
      </c>
      <c r="C591" s="1" t="s">
        <v>26</v>
      </c>
      <c r="D591" s="1" t="s">
        <v>27</v>
      </c>
      <c r="E591" s="1" t="s">
        <v>2</v>
      </c>
      <c r="F591" s="1">
        <v>289</v>
      </c>
      <c r="G591" s="1">
        <v>321</v>
      </c>
      <c r="H591" s="1" t="s">
        <v>15</v>
      </c>
      <c r="I591" s="1" t="s">
        <v>16</v>
      </c>
      <c r="J591" s="1" t="s">
        <v>24</v>
      </c>
      <c r="K591" s="1">
        <v>85.44</v>
      </c>
      <c r="L591" s="1">
        <v>45.66</v>
      </c>
    </row>
    <row r="592" spans="1:12" ht="15.6" x14ac:dyDescent="0.3">
      <c r="A592" s="1" t="s">
        <v>628</v>
      </c>
      <c r="B592" s="1">
        <v>54</v>
      </c>
      <c r="C592" s="1" t="s">
        <v>19</v>
      </c>
      <c r="D592" s="1" t="s">
        <v>35</v>
      </c>
      <c r="E592" s="1" t="s">
        <v>36</v>
      </c>
      <c r="F592" s="1">
        <v>239</v>
      </c>
      <c r="G592" s="1">
        <v>193</v>
      </c>
      <c r="H592" s="1" t="s">
        <v>37</v>
      </c>
      <c r="I592" s="1" t="s">
        <v>16</v>
      </c>
      <c r="J592" s="1" t="s">
        <v>38</v>
      </c>
      <c r="K592" s="1">
        <v>64.849999999999994</v>
      </c>
      <c r="L592" s="1">
        <v>70.98</v>
      </c>
    </row>
    <row r="593" spans="1:12" ht="15.6" x14ac:dyDescent="0.3">
      <c r="A593" s="1" t="s">
        <v>629</v>
      </c>
      <c r="B593" s="1">
        <v>35</v>
      </c>
      <c r="C593" s="1" t="s">
        <v>13</v>
      </c>
      <c r="D593" s="1" t="s">
        <v>50</v>
      </c>
      <c r="E593" s="1" t="s">
        <v>45</v>
      </c>
      <c r="F593" s="1">
        <v>458</v>
      </c>
      <c r="G593" s="1">
        <v>324</v>
      </c>
      <c r="H593" s="1" t="s">
        <v>32</v>
      </c>
      <c r="I593" s="1" t="s">
        <v>16</v>
      </c>
      <c r="J593" s="1" t="s">
        <v>38</v>
      </c>
      <c r="K593" s="1">
        <v>65.78</v>
      </c>
      <c r="L593" s="1">
        <v>52.34</v>
      </c>
    </row>
    <row r="594" spans="1:12" ht="15.6" x14ac:dyDescent="0.3">
      <c r="A594" s="1" t="s">
        <v>630</v>
      </c>
      <c r="B594" s="1">
        <v>50</v>
      </c>
      <c r="C594" s="1" t="s">
        <v>34</v>
      </c>
      <c r="D594" s="1" t="s">
        <v>50</v>
      </c>
      <c r="E594" s="1" t="s">
        <v>21</v>
      </c>
      <c r="F594" s="1">
        <v>313</v>
      </c>
      <c r="G594" s="1">
        <v>427</v>
      </c>
      <c r="H594" s="1" t="s">
        <v>22</v>
      </c>
      <c r="I594" s="1" t="s">
        <v>16</v>
      </c>
      <c r="J594" s="1" t="s">
        <v>38</v>
      </c>
      <c r="K594" s="1">
        <v>19.55</v>
      </c>
      <c r="L594" s="1">
        <v>23.15</v>
      </c>
    </row>
    <row r="595" spans="1:12" ht="15.6" x14ac:dyDescent="0.3">
      <c r="A595" s="1" t="s">
        <v>631</v>
      </c>
      <c r="B595" s="1">
        <v>34</v>
      </c>
      <c r="C595" s="1" t="s">
        <v>19</v>
      </c>
      <c r="D595" s="1" t="s">
        <v>20</v>
      </c>
      <c r="E595" s="1" t="s">
        <v>31</v>
      </c>
      <c r="F595" s="1">
        <v>488</v>
      </c>
      <c r="G595" s="1">
        <v>194</v>
      </c>
      <c r="H595" s="1" t="s">
        <v>48</v>
      </c>
      <c r="I595" s="1" t="s">
        <v>23</v>
      </c>
      <c r="J595" s="1" t="s">
        <v>38</v>
      </c>
      <c r="K595" s="1">
        <v>71.260000000000005</v>
      </c>
      <c r="L595" s="1">
        <v>53.28</v>
      </c>
    </row>
    <row r="596" spans="1:12" ht="15.6" x14ac:dyDescent="0.3">
      <c r="A596" s="1" t="s">
        <v>632</v>
      </c>
      <c r="B596" s="1">
        <v>57</v>
      </c>
      <c r="C596" s="1" t="s">
        <v>34</v>
      </c>
      <c r="D596" s="1" t="s">
        <v>30</v>
      </c>
      <c r="E596" s="1" t="s">
        <v>40</v>
      </c>
      <c r="F596" s="1">
        <v>108</v>
      </c>
      <c r="G596" s="1">
        <v>334</v>
      </c>
      <c r="H596" s="1" t="s">
        <v>32</v>
      </c>
      <c r="I596" s="1" t="s">
        <v>16</v>
      </c>
      <c r="J596" s="1" t="s">
        <v>38</v>
      </c>
      <c r="K596" s="1">
        <v>74.25</v>
      </c>
      <c r="L596" s="1">
        <v>72.819999999999993</v>
      </c>
    </row>
    <row r="597" spans="1:12" ht="15.6" x14ac:dyDescent="0.3">
      <c r="A597" s="1" t="s">
        <v>633</v>
      </c>
      <c r="B597" s="1">
        <v>16</v>
      </c>
      <c r="C597" s="1" t="s">
        <v>19</v>
      </c>
      <c r="D597" s="1" t="s">
        <v>35</v>
      </c>
      <c r="E597" s="1" t="s">
        <v>21</v>
      </c>
      <c r="F597" s="1">
        <v>257</v>
      </c>
      <c r="G597" s="1">
        <v>286</v>
      </c>
      <c r="H597" s="1" t="s">
        <v>22</v>
      </c>
      <c r="I597" s="1" t="s">
        <v>16</v>
      </c>
      <c r="J597" s="1" t="s">
        <v>17</v>
      </c>
      <c r="K597" s="1">
        <v>52</v>
      </c>
      <c r="L597" s="1">
        <v>64.87</v>
      </c>
    </row>
    <row r="598" spans="1:12" ht="15.6" x14ac:dyDescent="0.3">
      <c r="A598" s="1" t="s">
        <v>634</v>
      </c>
      <c r="B598" s="1">
        <v>31</v>
      </c>
      <c r="C598" s="1" t="s">
        <v>13</v>
      </c>
      <c r="D598" s="1" t="s">
        <v>50</v>
      </c>
      <c r="E598" s="1" t="s">
        <v>45</v>
      </c>
      <c r="F598" s="1">
        <v>457</v>
      </c>
      <c r="G598" s="1">
        <v>174</v>
      </c>
      <c r="H598" s="1" t="s">
        <v>32</v>
      </c>
      <c r="I598" s="1" t="s">
        <v>23</v>
      </c>
      <c r="J598" s="1" t="s">
        <v>24</v>
      </c>
      <c r="K598" s="1">
        <v>34.72</v>
      </c>
      <c r="L598" s="1">
        <v>77.22</v>
      </c>
    </row>
    <row r="599" spans="1:12" ht="15.6" x14ac:dyDescent="0.3">
      <c r="A599" s="1" t="s">
        <v>635</v>
      </c>
      <c r="B599" s="1">
        <v>23</v>
      </c>
      <c r="C599" s="1" t="s">
        <v>34</v>
      </c>
      <c r="D599" s="1" t="s">
        <v>27</v>
      </c>
      <c r="E599" s="1" t="s">
        <v>45</v>
      </c>
      <c r="F599" s="1">
        <v>377</v>
      </c>
      <c r="G599" s="1">
        <v>168</v>
      </c>
      <c r="H599" s="1" t="s">
        <v>32</v>
      </c>
      <c r="I599" s="1" t="s">
        <v>16</v>
      </c>
      <c r="J599" s="1" t="s">
        <v>38</v>
      </c>
      <c r="K599" s="1">
        <v>53.11</v>
      </c>
      <c r="L599" s="1">
        <v>29.81</v>
      </c>
    </row>
    <row r="600" spans="1:12" ht="15.6" x14ac:dyDescent="0.3">
      <c r="A600" s="1" t="s">
        <v>636</v>
      </c>
      <c r="B600" s="1">
        <v>15</v>
      </c>
      <c r="C600" s="1" t="s">
        <v>34</v>
      </c>
      <c r="D600" s="1" t="s">
        <v>35</v>
      </c>
      <c r="E600" s="1" t="s">
        <v>31</v>
      </c>
      <c r="F600" s="1">
        <v>79</v>
      </c>
      <c r="G600" s="1">
        <v>292</v>
      </c>
      <c r="H600" s="1" t="s">
        <v>32</v>
      </c>
      <c r="I600" s="1" t="s">
        <v>16</v>
      </c>
      <c r="J600" s="1" t="s">
        <v>17</v>
      </c>
      <c r="K600" s="1">
        <v>13.48</v>
      </c>
      <c r="L600" s="1">
        <v>8.5399999999999991</v>
      </c>
    </row>
    <row r="601" spans="1:12" ht="15.6" x14ac:dyDescent="0.3">
      <c r="A601" s="1" t="s">
        <v>637</v>
      </c>
      <c r="B601" s="1">
        <v>41</v>
      </c>
      <c r="C601" s="1" t="s">
        <v>34</v>
      </c>
      <c r="D601" s="1" t="s">
        <v>35</v>
      </c>
      <c r="E601" s="1" t="s">
        <v>45</v>
      </c>
      <c r="F601" s="1">
        <v>363</v>
      </c>
      <c r="G601" s="1">
        <v>41</v>
      </c>
      <c r="H601" s="1" t="s">
        <v>15</v>
      </c>
      <c r="I601" s="1" t="s">
        <v>23</v>
      </c>
      <c r="J601" s="1" t="s">
        <v>24</v>
      </c>
      <c r="K601" s="1">
        <v>69.150000000000006</v>
      </c>
      <c r="L601" s="1">
        <v>57.03</v>
      </c>
    </row>
    <row r="602" spans="1:12" ht="15.6" x14ac:dyDescent="0.3">
      <c r="A602" s="1" t="s">
        <v>638</v>
      </c>
      <c r="B602" s="1">
        <v>60</v>
      </c>
      <c r="C602" s="1" t="s">
        <v>34</v>
      </c>
      <c r="D602" s="1" t="s">
        <v>27</v>
      </c>
      <c r="E602" s="1" t="s">
        <v>40</v>
      </c>
      <c r="F602" s="1">
        <v>381</v>
      </c>
      <c r="G602" s="1">
        <v>57</v>
      </c>
      <c r="H602" s="1" t="s">
        <v>37</v>
      </c>
      <c r="I602" s="1" t="s">
        <v>16</v>
      </c>
      <c r="J602" s="1" t="s">
        <v>38</v>
      </c>
      <c r="K602" s="1">
        <v>10.68</v>
      </c>
      <c r="L602" s="1">
        <v>18.23</v>
      </c>
    </row>
    <row r="603" spans="1:12" ht="15.6" x14ac:dyDescent="0.3">
      <c r="A603" s="1" t="s">
        <v>639</v>
      </c>
      <c r="B603" s="1">
        <v>42</v>
      </c>
      <c r="C603" s="1" t="s">
        <v>29</v>
      </c>
      <c r="D603" s="1" t="s">
        <v>50</v>
      </c>
      <c r="E603" s="1" t="s">
        <v>21</v>
      </c>
      <c r="F603" s="1">
        <v>351</v>
      </c>
      <c r="G603" s="1">
        <v>270</v>
      </c>
      <c r="H603" s="1" t="s">
        <v>37</v>
      </c>
      <c r="I603" s="1" t="s">
        <v>23</v>
      </c>
      <c r="J603" s="1" t="s">
        <v>24</v>
      </c>
      <c r="K603" s="1">
        <v>75.38</v>
      </c>
      <c r="L603" s="1">
        <v>62.87</v>
      </c>
    </row>
    <row r="604" spans="1:12" ht="15.6" x14ac:dyDescent="0.3">
      <c r="A604" s="1" t="s">
        <v>640</v>
      </c>
      <c r="B604" s="1">
        <v>27</v>
      </c>
      <c r="C604" s="1" t="s">
        <v>26</v>
      </c>
      <c r="D604" s="1" t="s">
        <v>20</v>
      </c>
      <c r="E604" s="1" t="s">
        <v>40</v>
      </c>
      <c r="F604" s="1">
        <v>149</v>
      </c>
      <c r="G604" s="1">
        <v>270</v>
      </c>
      <c r="H604" s="1" t="s">
        <v>37</v>
      </c>
      <c r="I604" s="1" t="s">
        <v>23</v>
      </c>
      <c r="J604" s="1" t="s">
        <v>38</v>
      </c>
      <c r="K604" s="1">
        <v>67.010000000000005</v>
      </c>
      <c r="L604" s="1">
        <v>25.27</v>
      </c>
    </row>
    <row r="605" spans="1:12" ht="15.6" x14ac:dyDescent="0.3">
      <c r="A605" s="1" t="s">
        <v>641</v>
      </c>
      <c r="B605" s="1">
        <v>51</v>
      </c>
      <c r="C605" s="1" t="s">
        <v>13</v>
      </c>
      <c r="D605" s="1" t="s">
        <v>30</v>
      </c>
      <c r="E605" s="1" t="s">
        <v>21</v>
      </c>
      <c r="F605" s="1">
        <v>201</v>
      </c>
      <c r="G605" s="1">
        <v>476</v>
      </c>
      <c r="H605" s="1" t="s">
        <v>37</v>
      </c>
      <c r="I605" s="1" t="s">
        <v>16</v>
      </c>
      <c r="J605" s="1" t="s">
        <v>17</v>
      </c>
      <c r="K605" s="1">
        <v>13.2</v>
      </c>
      <c r="L605" s="1">
        <v>68.069999999999993</v>
      </c>
    </row>
    <row r="606" spans="1:12" ht="15.6" x14ac:dyDescent="0.3">
      <c r="A606" s="1" t="s">
        <v>642</v>
      </c>
      <c r="B606" s="1">
        <v>51</v>
      </c>
      <c r="C606" s="1" t="s">
        <v>29</v>
      </c>
      <c r="D606" s="1" t="s">
        <v>27</v>
      </c>
      <c r="E606" s="1" t="s">
        <v>21</v>
      </c>
      <c r="F606" s="1">
        <v>224</v>
      </c>
      <c r="G606" s="1">
        <v>453</v>
      </c>
      <c r="H606" s="1" t="s">
        <v>48</v>
      </c>
      <c r="I606" s="1" t="s">
        <v>23</v>
      </c>
      <c r="J606" s="1" t="s">
        <v>24</v>
      </c>
      <c r="K606" s="1">
        <v>88.7</v>
      </c>
      <c r="L606" s="1">
        <v>25.97</v>
      </c>
    </row>
    <row r="607" spans="1:12" ht="15.6" x14ac:dyDescent="0.3">
      <c r="A607" s="1" t="s">
        <v>643</v>
      </c>
      <c r="B607" s="1">
        <v>46</v>
      </c>
      <c r="C607" s="1" t="s">
        <v>26</v>
      </c>
      <c r="D607" s="1" t="s">
        <v>20</v>
      </c>
      <c r="E607" s="1" t="s">
        <v>21</v>
      </c>
      <c r="F607" s="1">
        <v>36</v>
      </c>
      <c r="G607" s="1">
        <v>88</v>
      </c>
      <c r="H607" s="1" t="s">
        <v>32</v>
      </c>
      <c r="I607" s="1" t="s">
        <v>23</v>
      </c>
      <c r="J607" s="1" t="s">
        <v>17</v>
      </c>
      <c r="K607" s="1">
        <v>75.3</v>
      </c>
      <c r="L607" s="1">
        <v>75.319999999999993</v>
      </c>
    </row>
    <row r="608" spans="1:12" ht="15.6" x14ac:dyDescent="0.3">
      <c r="A608" s="1" t="s">
        <v>644</v>
      </c>
      <c r="B608" s="1">
        <v>48</v>
      </c>
      <c r="C608" s="1" t="s">
        <v>19</v>
      </c>
      <c r="D608" s="1" t="s">
        <v>14</v>
      </c>
      <c r="E608" s="1" t="s">
        <v>21</v>
      </c>
      <c r="F608" s="1">
        <v>41</v>
      </c>
      <c r="G608" s="1">
        <v>450</v>
      </c>
      <c r="H608" s="1" t="s">
        <v>22</v>
      </c>
      <c r="I608" s="1" t="s">
        <v>23</v>
      </c>
      <c r="J608" s="1" t="s">
        <v>24</v>
      </c>
      <c r="K608" s="1">
        <v>54.64</v>
      </c>
      <c r="L608" s="1">
        <v>60.02</v>
      </c>
    </row>
    <row r="609" spans="1:12" ht="15.6" x14ac:dyDescent="0.3">
      <c r="A609" s="1" t="s">
        <v>645</v>
      </c>
      <c r="B609" s="1">
        <v>22</v>
      </c>
      <c r="C609" s="1" t="s">
        <v>29</v>
      </c>
      <c r="D609" s="1" t="s">
        <v>50</v>
      </c>
      <c r="E609" s="1" t="s">
        <v>21</v>
      </c>
      <c r="F609" s="1">
        <v>459</v>
      </c>
      <c r="G609" s="1">
        <v>252</v>
      </c>
      <c r="H609" s="1" t="s">
        <v>22</v>
      </c>
      <c r="I609" s="1" t="s">
        <v>16</v>
      </c>
      <c r="J609" s="1" t="s">
        <v>24</v>
      </c>
      <c r="K609" s="1">
        <v>73.59</v>
      </c>
      <c r="L609" s="1">
        <v>11.24</v>
      </c>
    </row>
    <row r="610" spans="1:12" ht="15.6" x14ac:dyDescent="0.3">
      <c r="A610" s="1" t="s">
        <v>646</v>
      </c>
      <c r="B610" s="1">
        <v>44</v>
      </c>
      <c r="C610" s="1" t="s">
        <v>26</v>
      </c>
      <c r="D610" s="1" t="s">
        <v>30</v>
      </c>
      <c r="E610" s="1" t="s">
        <v>45</v>
      </c>
      <c r="F610" s="1">
        <v>405</v>
      </c>
      <c r="G610" s="1">
        <v>196</v>
      </c>
      <c r="H610" s="1" t="s">
        <v>37</v>
      </c>
      <c r="I610" s="1" t="s">
        <v>23</v>
      </c>
      <c r="J610" s="1" t="s">
        <v>38</v>
      </c>
      <c r="K610" s="1">
        <v>64.459999999999994</v>
      </c>
      <c r="L610" s="1">
        <v>45.44</v>
      </c>
    </row>
    <row r="611" spans="1:12" ht="15.6" x14ac:dyDescent="0.3">
      <c r="A611" s="1" t="s">
        <v>647</v>
      </c>
      <c r="B611" s="1">
        <v>54</v>
      </c>
      <c r="C611" s="1" t="s">
        <v>13</v>
      </c>
      <c r="D611" s="1" t="s">
        <v>30</v>
      </c>
      <c r="E611" s="1" t="s">
        <v>36</v>
      </c>
      <c r="F611" s="1">
        <v>389</v>
      </c>
      <c r="G611" s="1">
        <v>70</v>
      </c>
      <c r="H611" s="1" t="s">
        <v>15</v>
      </c>
      <c r="I611" s="1" t="s">
        <v>23</v>
      </c>
      <c r="J611" s="1" t="s">
        <v>17</v>
      </c>
      <c r="K611" s="1">
        <v>62.58</v>
      </c>
      <c r="L611" s="1">
        <v>76.48</v>
      </c>
    </row>
    <row r="612" spans="1:12" ht="15.6" x14ac:dyDescent="0.3">
      <c r="A612" s="1" t="s">
        <v>648</v>
      </c>
      <c r="B612" s="1">
        <v>38</v>
      </c>
      <c r="C612" s="1" t="s">
        <v>26</v>
      </c>
      <c r="D612" s="1" t="s">
        <v>35</v>
      </c>
      <c r="E612" s="1" t="s">
        <v>36</v>
      </c>
      <c r="F612" s="1">
        <v>245</v>
      </c>
      <c r="G612" s="1">
        <v>455</v>
      </c>
      <c r="H612" s="1" t="s">
        <v>37</v>
      </c>
      <c r="I612" s="1" t="s">
        <v>23</v>
      </c>
      <c r="J612" s="1" t="s">
        <v>17</v>
      </c>
      <c r="K612" s="1">
        <v>59.81</v>
      </c>
      <c r="L612" s="1">
        <v>43.02</v>
      </c>
    </row>
    <row r="613" spans="1:12" ht="15.6" x14ac:dyDescent="0.3">
      <c r="A613" s="1" t="s">
        <v>649</v>
      </c>
      <c r="B613" s="1">
        <v>57</v>
      </c>
      <c r="C613" s="1" t="s">
        <v>19</v>
      </c>
      <c r="D613" s="1" t="s">
        <v>50</v>
      </c>
      <c r="E613" s="1" t="s">
        <v>36</v>
      </c>
      <c r="F613" s="1">
        <v>344</v>
      </c>
      <c r="G613" s="1">
        <v>283</v>
      </c>
      <c r="H613" s="1" t="s">
        <v>15</v>
      </c>
      <c r="I613" s="1" t="s">
        <v>23</v>
      </c>
      <c r="J613" s="1" t="s">
        <v>24</v>
      </c>
      <c r="K613" s="1">
        <v>19.38</v>
      </c>
      <c r="L613" s="1">
        <v>65.88</v>
      </c>
    </row>
    <row r="614" spans="1:12" ht="15.6" x14ac:dyDescent="0.3">
      <c r="A614" s="1" t="s">
        <v>650</v>
      </c>
      <c r="B614" s="1">
        <v>25</v>
      </c>
      <c r="C614" s="1" t="s">
        <v>29</v>
      </c>
      <c r="D614" s="1" t="s">
        <v>27</v>
      </c>
      <c r="E614" s="1" t="s">
        <v>36</v>
      </c>
      <c r="F614" s="1">
        <v>597</v>
      </c>
      <c r="G614" s="1">
        <v>467</v>
      </c>
      <c r="H614" s="1" t="s">
        <v>48</v>
      </c>
      <c r="I614" s="1" t="s">
        <v>16</v>
      </c>
      <c r="J614" s="1" t="s">
        <v>24</v>
      </c>
      <c r="K614" s="1">
        <v>15.54</v>
      </c>
      <c r="L614" s="1">
        <v>26.97</v>
      </c>
    </row>
    <row r="615" spans="1:12" ht="15.6" x14ac:dyDescent="0.3">
      <c r="A615" s="1" t="s">
        <v>651</v>
      </c>
      <c r="B615" s="1">
        <v>24</v>
      </c>
      <c r="C615" s="1" t="s">
        <v>26</v>
      </c>
      <c r="D615" s="1" t="s">
        <v>20</v>
      </c>
      <c r="E615" s="1" t="s">
        <v>36</v>
      </c>
      <c r="F615" s="1">
        <v>156</v>
      </c>
      <c r="G615" s="1">
        <v>413</v>
      </c>
      <c r="H615" s="1" t="s">
        <v>15</v>
      </c>
      <c r="I615" s="1" t="s">
        <v>16</v>
      </c>
      <c r="J615" s="1" t="s">
        <v>24</v>
      </c>
      <c r="K615" s="1">
        <v>66.150000000000006</v>
      </c>
      <c r="L615" s="1">
        <v>6.84</v>
      </c>
    </row>
    <row r="616" spans="1:12" ht="15.6" x14ac:dyDescent="0.3">
      <c r="A616" s="1" t="s">
        <v>652</v>
      </c>
      <c r="B616" s="1">
        <v>32</v>
      </c>
      <c r="C616" s="1" t="s">
        <v>19</v>
      </c>
      <c r="D616" s="1" t="s">
        <v>14</v>
      </c>
      <c r="E616" s="1" t="s">
        <v>21</v>
      </c>
      <c r="F616" s="1">
        <v>532</v>
      </c>
      <c r="G616" s="1">
        <v>288</v>
      </c>
      <c r="H616" s="1" t="s">
        <v>15</v>
      </c>
      <c r="I616" s="1" t="s">
        <v>23</v>
      </c>
      <c r="J616" s="1" t="s">
        <v>38</v>
      </c>
      <c r="K616" s="1">
        <v>82.81</v>
      </c>
      <c r="L616" s="1">
        <v>73.27</v>
      </c>
    </row>
    <row r="617" spans="1:12" ht="15.6" x14ac:dyDescent="0.3">
      <c r="A617" s="1" t="s">
        <v>653</v>
      </c>
      <c r="B617" s="1">
        <v>26</v>
      </c>
      <c r="C617" s="1" t="s">
        <v>13</v>
      </c>
      <c r="D617" s="1" t="s">
        <v>35</v>
      </c>
      <c r="E617" s="1" t="s">
        <v>45</v>
      </c>
      <c r="F617" s="1">
        <v>62</v>
      </c>
      <c r="G617" s="1">
        <v>370</v>
      </c>
      <c r="H617" s="1" t="s">
        <v>48</v>
      </c>
      <c r="I617" s="1" t="s">
        <v>16</v>
      </c>
      <c r="J617" s="1" t="s">
        <v>17</v>
      </c>
      <c r="K617" s="1">
        <v>63.03</v>
      </c>
      <c r="L617" s="1">
        <v>68.83</v>
      </c>
    </row>
    <row r="618" spans="1:12" ht="15.6" x14ac:dyDescent="0.3">
      <c r="A618" s="1" t="s">
        <v>654</v>
      </c>
      <c r="B618" s="1">
        <v>33</v>
      </c>
      <c r="C618" s="1" t="s">
        <v>29</v>
      </c>
      <c r="D618" s="1" t="s">
        <v>20</v>
      </c>
      <c r="E618" s="1" t="s">
        <v>21</v>
      </c>
      <c r="F618" s="1">
        <v>417</v>
      </c>
      <c r="G618" s="1">
        <v>347</v>
      </c>
      <c r="H618" s="1" t="s">
        <v>22</v>
      </c>
      <c r="I618" s="1" t="s">
        <v>16</v>
      </c>
      <c r="J618" s="1" t="s">
        <v>17</v>
      </c>
      <c r="K618" s="1">
        <v>11.72</v>
      </c>
      <c r="L618" s="1">
        <v>33.36</v>
      </c>
    </row>
    <row r="619" spans="1:12" ht="15.6" x14ac:dyDescent="0.3">
      <c r="A619" s="1" t="s">
        <v>655</v>
      </c>
      <c r="B619" s="1">
        <v>48</v>
      </c>
      <c r="C619" s="1" t="s">
        <v>19</v>
      </c>
      <c r="D619" s="1" t="s">
        <v>35</v>
      </c>
      <c r="E619" s="1" t="s">
        <v>31</v>
      </c>
      <c r="F619" s="1">
        <v>302</v>
      </c>
      <c r="G619" s="1">
        <v>326</v>
      </c>
      <c r="H619" s="1" t="s">
        <v>37</v>
      </c>
      <c r="I619" s="1" t="s">
        <v>23</v>
      </c>
      <c r="J619" s="1" t="s">
        <v>17</v>
      </c>
      <c r="K619" s="1">
        <v>35.869999999999997</v>
      </c>
      <c r="L619" s="1">
        <v>45.5</v>
      </c>
    </row>
    <row r="620" spans="1:12" ht="15.6" x14ac:dyDescent="0.3">
      <c r="A620" s="1" t="s">
        <v>656</v>
      </c>
      <c r="B620" s="1">
        <v>13</v>
      </c>
      <c r="C620" s="1" t="s">
        <v>34</v>
      </c>
      <c r="D620" s="1" t="s">
        <v>50</v>
      </c>
      <c r="E620" s="1" t="s">
        <v>40</v>
      </c>
      <c r="F620" s="1">
        <v>562</v>
      </c>
      <c r="G620" s="1">
        <v>243</v>
      </c>
      <c r="H620" s="1" t="s">
        <v>48</v>
      </c>
      <c r="I620" s="1" t="s">
        <v>23</v>
      </c>
      <c r="J620" s="1" t="s">
        <v>38</v>
      </c>
      <c r="K620" s="1">
        <v>47.97</v>
      </c>
      <c r="L620" s="1">
        <v>45.7</v>
      </c>
    </row>
    <row r="621" spans="1:12" ht="15.6" x14ac:dyDescent="0.3">
      <c r="A621" s="1" t="s">
        <v>657</v>
      </c>
      <c r="B621" s="1">
        <v>32</v>
      </c>
      <c r="C621" s="1" t="s">
        <v>19</v>
      </c>
      <c r="D621" s="1" t="s">
        <v>14</v>
      </c>
      <c r="E621" s="1" t="s">
        <v>2</v>
      </c>
      <c r="F621" s="1">
        <v>389</v>
      </c>
      <c r="G621" s="1">
        <v>95</v>
      </c>
      <c r="H621" s="1" t="s">
        <v>32</v>
      </c>
      <c r="I621" s="1" t="s">
        <v>23</v>
      </c>
      <c r="J621" s="1" t="s">
        <v>38</v>
      </c>
      <c r="K621" s="1">
        <v>75.83</v>
      </c>
      <c r="L621" s="1">
        <v>65.45</v>
      </c>
    </row>
    <row r="622" spans="1:12" ht="15.6" x14ac:dyDescent="0.3">
      <c r="A622" s="1" t="s">
        <v>658</v>
      </c>
      <c r="B622" s="1">
        <v>36</v>
      </c>
      <c r="C622" s="1" t="s">
        <v>13</v>
      </c>
      <c r="D622" s="1" t="s">
        <v>14</v>
      </c>
      <c r="E622" s="1" t="s">
        <v>31</v>
      </c>
      <c r="F622" s="1">
        <v>338</v>
      </c>
      <c r="G622" s="1">
        <v>235</v>
      </c>
      <c r="H622" s="1" t="s">
        <v>22</v>
      </c>
      <c r="I622" s="1" t="s">
        <v>16</v>
      </c>
      <c r="J622" s="1" t="s">
        <v>24</v>
      </c>
      <c r="K622" s="1">
        <v>53.97</v>
      </c>
      <c r="L622" s="1">
        <v>23.67</v>
      </c>
    </row>
    <row r="623" spans="1:12" ht="15.6" x14ac:dyDescent="0.3">
      <c r="A623" s="1" t="s">
        <v>659</v>
      </c>
      <c r="B623" s="1">
        <v>57</v>
      </c>
      <c r="C623" s="1" t="s">
        <v>19</v>
      </c>
      <c r="D623" s="1" t="s">
        <v>50</v>
      </c>
      <c r="E623" s="1" t="s">
        <v>40</v>
      </c>
      <c r="F623" s="1">
        <v>188</v>
      </c>
      <c r="G623" s="1">
        <v>377</v>
      </c>
      <c r="H623" s="1" t="s">
        <v>48</v>
      </c>
      <c r="I623" s="1" t="s">
        <v>16</v>
      </c>
      <c r="J623" s="1" t="s">
        <v>38</v>
      </c>
      <c r="K623" s="1">
        <v>31.93</v>
      </c>
      <c r="L623" s="1">
        <v>63.12</v>
      </c>
    </row>
    <row r="624" spans="1:12" ht="15.6" x14ac:dyDescent="0.3">
      <c r="A624" s="1" t="s">
        <v>660</v>
      </c>
      <c r="B624" s="1">
        <v>26</v>
      </c>
      <c r="C624" s="1" t="s">
        <v>26</v>
      </c>
      <c r="D624" s="1" t="s">
        <v>35</v>
      </c>
      <c r="E624" s="1" t="s">
        <v>45</v>
      </c>
      <c r="F624" s="1">
        <v>109</v>
      </c>
      <c r="G624" s="1">
        <v>478</v>
      </c>
      <c r="H624" s="1" t="s">
        <v>32</v>
      </c>
      <c r="I624" s="1" t="s">
        <v>23</v>
      </c>
      <c r="J624" s="1" t="s">
        <v>24</v>
      </c>
      <c r="K624" s="1">
        <v>72.19</v>
      </c>
      <c r="L624" s="1">
        <v>28.34</v>
      </c>
    </row>
    <row r="625" spans="1:12" ht="15.6" x14ac:dyDescent="0.3">
      <c r="A625" s="1" t="s">
        <v>661</v>
      </c>
      <c r="B625" s="1">
        <v>23</v>
      </c>
      <c r="C625" s="1" t="s">
        <v>19</v>
      </c>
      <c r="D625" s="1" t="s">
        <v>35</v>
      </c>
      <c r="E625" s="1" t="s">
        <v>21</v>
      </c>
      <c r="F625" s="1">
        <v>499</v>
      </c>
      <c r="G625" s="1">
        <v>61</v>
      </c>
      <c r="H625" s="1" t="s">
        <v>48</v>
      </c>
      <c r="I625" s="1" t="s">
        <v>23</v>
      </c>
      <c r="J625" s="1" t="s">
        <v>38</v>
      </c>
      <c r="K625" s="1">
        <v>64.3</v>
      </c>
      <c r="L625" s="1">
        <v>63</v>
      </c>
    </row>
    <row r="626" spans="1:12" ht="15.6" x14ac:dyDescent="0.3">
      <c r="A626" s="1" t="s">
        <v>662</v>
      </c>
      <c r="B626" s="1">
        <v>56</v>
      </c>
      <c r="C626" s="1" t="s">
        <v>29</v>
      </c>
      <c r="D626" s="1" t="s">
        <v>20</v>
      </c>
      <c r="E626" s="1" t="s">
        <v>36</v>
      </c>
      <c r="F626" s="1">
        <v>198</v>
      </c>
      <c r="G626" s="1">
        <v>119</v>
      </c>
      <c r="H626" s="1" t="s">
        <v>32</v>
      </c>
      <c r="I626" s="1" t="s">
        <v>16</v>
      </c>
      <c r="J626" s="1" t="s">
        <v>38</v>
      </c>
      <c r="K626" s="1">
        <v>78.459999999999994</v>
      </c>
      <c r="L626" s="1">
        <v>49.25</v>
      </c>
    </row>
    <row r="627" spans="1:12" ht="15.6" x14ac:dyDescent="0.3">
      <c r="A627" s="1" t="s">
        <v>663</v>
      </c>
      <c r="B627" s="1">
        <v>58</v>
      </c>
      <c r="C627" s="1" t="s">
        <v>13</v>
      </c>
      <c r="D627" s="1" t="s">
        <v>20</v>
      </c>
      <c r="E627" s="1" t="s">
        <v>45</v>
      </c>
      <c r="F627" s="1">
        <v>269</v>
      </c>
      <c r="G627" s="1">
        <v>412</v>
      </c>
      <c r="H627" s="1" t="s">
        <v>22</v>
      </c>
      <c r="I627" s="1" t="s">
        <v>16</v>
      </c>
      <c r="J627" s="1" t="s">
        <v>17</v>
      </c>
      <c r="K627" s="1">
        <v>10.61</v>
      </c>
      <c r="L627" s="1">
        <v>17.13</v>
      </c>
    </row>
    <row r="628" spans="1:12" ht="15.6" x14ac:dyDescent="0.3">
      <c r="A628" s="1" t="s">
        <v>664</v>
      </c>
      <c r="B628" s="1">
        <v>40</v>
      </c>
      <c r="C628" s="1" t="s">
        <v>26</v>
      </c>
      <c r="D628" s="1" t="s">
        <v>35</v>
      </c>
      <c r="E628" s="1" t="s">
        <v>2</v>
      </c>
      <c r="F628" s="1">
        <v>38</v>
      </c>
      <c r="G628" s="1">
        <v>26</v>
      </c>
      <c r="H628" s="1" t="s">
        <v>37</v>
      </c>
      <c r="I628" s="1" t="s">
        <v>16</v>
      </c>
      <c r="J628" s="1" t="s">
        <v>24</v>
      </c>
      <c r="K628" s="1">
        <v>13.77</v>
      </c>
      <c r="L628" s="1">
        <v>17.93</v>
      </c>
    </row>
    <row r="629" spans="1:12" ht="15.6" x14ac:dyDescent="0.3">
      <c r="A629" s="1" t="s">
        <v>665</v>
      </c>
      <c r="B629" s="1">
        <v>54</v>
      </c>
      <c r="C629" s="1" t="s">
        <v>29</v>
      </c>
      <c r="D629" s="1" t="s">
        <v>35</v>
      </c>
      <c r="E629" s="1" t="s">
        <v>36</v>
      </c>
      <c r="F629" s="1">
        <v>54</v>
      </c>
      <c r="G629" s="1">
        <v>16</v>
      </c>
      <c r="H629" s="1" t="s">
        <v>32</v>
      </c>
      <c r="I629" s="1" t="s">
        <v>16</v>
      </c>
      <c r="J629" s="1" t="s">
        <v>24</v>
      </c>
      <c r="K629" s="1">
        <v>77.34</v>
      </c>
      <c r="L629" s="1">
        <v>32.159999999999997</v>
      </c>
    </row>
    <row r="630" spans="1:12" ht="15.6" x14ac:dyDescent="0.3">
      <c r="A630" s="1" t="s">
        <v>666</v>
      </c>
      <c r="B630" s="1">
        <v>51</v>
      </c>
      <c r="C630" s="1" t="s">
        <v>13</v>
      </c>
      <c r="D630" s="1" t="s">
        <v>35</v>
      </c>
      <c r="E630" s="1" t="s">
        <v>36</v>
      </c>
      <c r="F630" s="1">
        <v>340</v>
      </c>
      <c r="G630" s="1">
        <v>332</v>
      </c>
      <c r="H630" s="1" t="s">
        <v>32</v>
      </c>
      <c r="I630" s="1" t="s">
        <v>16</v>
      </c>
      <c r="J630" s="1" t="s">
        <v>24</v>
      </c>
      <c r="K630" s="1">
        <v>60.23</v>
      </c>
      <c r="L630" s="1">
        <v>15.2</v>
      </c>
    </row>
    <row r="631" spans="1:12" ht="15.6" x14ac:dyDescent="0.3">
      <c r="A631" s="1" t="s">
        <v>667</v>
      </c>
      <c r="B631" s="1">
        <v>44</v>
      </c>
      <c r="C631" s="1" t="s">
        <v>29</v>
      </c>
      <c r="D631" s="1" t="s">
        <v>50</v>
      </c>
      <c r="E631" s="1" t="s">
        <v>45</v>
      </c>
      <c r="F631" s="1">
        <v>318</v>
      </c>
      <c r="G631" s="1">
        <v>111</v>
      </c>
      <c r="H631" s="1" t="s">
        <v>32</v>
      </c>
      <c r="I631" s="1" t="s">
        <v>23</v>
      </c>
      <c r="J631" s="1" t="s">
        <v>38</v>
      </c>
      <c r="K631" s="1">
        <v>63.1</v>
      </c>
      <c r="L631" s="1">
        <v>15.58</v>
      </c>
    </row>
    <row r="632" spans="1:12" ht="15.6" x14ac:dyDescent="0.3">
      <c r="A632" s="1" t="s">
        <v>668</v>
      </c>
      <c r="B632" s="1">
        <v>22</v>
      </c>
      <c r="C632" s="1" t="s">
        <v>29</v>
      </c>
      <c r="D632" s="1" t="s">
        <v>30</v>
      </c>
      <c r="E632" s="1" t="s">
        <v>45</v>
      </c>
      <c r="F632" s="1">
        <v>447</v>
      </c>
      <c r="G632" s="1">
        <v>422</v>
      </c>
      <c r="H632" s="1" t="s">
        <v>48</v>
      </c>
      <c r="I632" s="1" t="s">
        <v>16</v>
      </c>
      <c r="J632" s="1" t="s">
        <v>38</v>
      </c>
      <c r="K632" s="1">
        <v>29.82</v>
      </c>
      <c r="L632" s="1">
        <v>30.34</v>
      </c>
    </row>
    <row r="633" spans="1:12" ht="15.6" x14ac:dyDescent="0.3">
      <c r="A633" s="1" t="s">
        <v>669</v>
      </c>
      <c r="B633" s="1">
        <v>27</v>
      </c>
      <c r="C633" s="1" t="s">
        <v>13</v>
      </c>
      <c r="D633" s="1" t="s">
        <v>27</v>
      </c>
      <c r="E633" s="1" t="s">
        <v>45</v>
      </c>
      <c r="F633" s="1">
        <v>481</v>
      </c>
      <c r="G633" s="1">
        <v>252</v>
      </c>
      <c r="H633" s="1" t="s">
        <v>48</v>
      </c>
      <c r="I633" s="1" t="s">
        <v>16</v>
      </c>
      <c r="J633" s="1" t="s">
        <v>17</v>
      </c>
      <c r="K633" s="1">
        <v>30.23</v>
      </c>
      <c r="L633" s="1">
        <v>61.84</v>
      </c>
    </row>
    <row r="634" spans="1:12" ht="15.6" x14ac:dyDescent="0.3">
      <c r="A634" s="1" t="s">
        <v>670</v>
      </c>
      <c r="B634" s="1">
        <v>30</v>
      </c>
      <c r="C634" s="1" t="s">
        <v>29</v>
      </c>
      <c r="D634" s="1" t="s">
        <v>50</v>
      </c>
      <c r="E634" s="1" t="s">
        <v>31</v>
      </c>
      <c r="F634" s="1">
        <v>356</v>
      </c>
      <c r="G634" s="1">
        <v>236</v>
      </c>
      <c r="H634" s="1" t="s">
        <v>15</v>
      </c>
      <c r="I634" s="1" t="s">
        <v>23</v>
      </c>
      <c r="J634" s="1" t="s">
        <v>38</v>
      </c>
      <c r="K634" s="1">
        <v>83.8</v>
      </c>
      <c r="L634" s="1">
        <v>42.57</v>
      </c>
    </row>
    <row r="635" spans="1:12" ht="15.6" x14ac:dyDescent="0.3">
      <c r="A635" s="1" t="s">
        <v>671</v>
      </c>
      <c r="B635" s="1">
        <v>48</v>
      </c>
      <c r="C635" s="1" t="s">
        <v>19</v>
      </c>
      <c r="D635" s="1" t="s">
        <v>14</v>
      </c>
      <c r="E635" s="1" t="s">
        <v>2</v>
      </c>
      <c r="F635" s="1">
        <v>358</v>
      </c>
      <c r="G635" s="1">
        <v>294</v>
      </c>
      <c r="H635" s="1" t="s">
        <v>22</v>
      </c>
      <c r="I635" s="1" t="s">
        <v>23</v>
      </c>
      <c r="J635" s="1" t="s">
        <v>17</v>
      </c>
      <c r="K635" s="1">
        <v>34.33</v>
      </c>
      <c r="L635" s="1">
        <v>15.41</v>
      </c>
    </row>
    <row r="636" spans="1:12" ht="15.6" x14ac:dyDescent="0.3">
      <c r="A636" s="1" t="s">
        <v>672</v>
      </c>
      <c r="B636" s="1">
        <v>21</v>
      </c>
      <c r="C636" s="1" t="s">
        <v>29</v>
      </c>
      <c r="D636" s="1" t="s">
        <v>35</v>
      </c>
      <c r="E636" s="1" t="s">
        <v>21</v>
      </c>
      <c r="F636" s="1">
        <v>467</v>
      </c>
      <c r="G636" s="1">
        <v>435</v>
      </c>
      <c r="H636" s="1" t="s">
        <v>15</v>
      </c>
      <c r="I636" s="1" t="s">
        <v>16</v>
      </c>
      <c r="J636" s="1" t="s">
        <v>17</v>
      </c>
      <c r="K636" s="1">
        <v>74.209999999999994</v>
      </c>
      <c r="L636" s="1">
        <v>55.68</v>
      </c>
    </row>
    <row r="637" spans="1:12" ht="15.6" x14ac:dyDescent="0.3">
      <c r="A637" s="1" t="s">
        <v>673</v>
      </c>
      <c r="B637" s="1">
        <v>47</v>
      </c>
      <c r="C637" s="1" t="s">
        <v>19</v>
      </c>
      <c r="D637" s="1" t="s">
        <v>14</v>
      </c>
      <c r="E637" s="1" t="s">
        <v>21</v>
      </c>
      <c r="F637" s="1">
        <v>58</v>
      </c>
      <c r="G637" s="1">
        <v>346</v>
      </c>
      <c r="H637" s="1" t="s">
        <v>32</v>
      </c>
      <c r="I637" s="1" t="s">
        <v>16</v>
      </c>
      <c r="J637" s="1" t="s">
        <v>38</v>
      </c>
      <c r="K637" s="1">
        <v>47.73</v>
      </c>
      <c r="L637" s="1">
        <v>30.35</v>
      </c>
    </row>
    <row r="638" spans="1:12" ht="15.6" x14ac:dyDescent="0.3">
      <c r="A638" s="1" t="s">
        <v>674</v>
      </c>
      <c r="B638" s="1">
        <v>33</v>
      </c>
      <c r="C638" s="1" t="s">
        <v>19</v>
      </c>
      <c r="D638" s="1" t="s">
        <v>14</v>
      </c>
      <c r="E638" s="1" t="s">
        <v>31</v>
      </c>
      <c r="F638" s="1">
        <v>65</v>
      </c>
      <c r="G638" s="1">
        <v>385</v>
      </c>
      <c r="H638" s="1" t="s">
        <v>48</v>
      </c>
      <c r="I638" s="1" t="s">
        <v>16</v>
      </c>
      <c r="J638" s="1" t="s">
        <v>24</v>
      </c>
      <c r="K638" s="1">
        <v>37.15</v>
      </c>
      <c r="L638" s="1">
        <v>47.05</v>
      </c>
    </row>
    <row r="639" spans="1:12" ht="15.6" x14ac:dyDescent="0.3">
      <c r="A639" s="1" t="s">
        <v>675</v>
      </c>
      <c r="B639" s="1">
        <v>37</v>
      </c>
      <c r="C639" s="1" t="s">
        <v>13</v>
      </c>
      <c r="D639" s="1" t="s">
        <v>50</v>
      </c>
      <c r="E639" s="1" t="s">
        <v>36</v>
      </c>
      <c r="F639" s="1">
        <v>257</v>
      </c>
      <c r="G639" s="1">
        <v>141</v>
      </c>
      <c r="H639" s="1" t="s">
        <v>48</v>
      </c>
      <c r="I639" s="1" t="s">
        <v>23</v>
      </c>
      <c r="J639" s="1" t="s">
        <v>17</v>
      </c>
      <c r="K639" s="1">
        <v>37.630000000000003</v>
      </c>
      <c r="L639" s="1">
        <v>29.69</v>
      </c>
    </row>
    <row r="640" spans="1:12" ht="15.6" x14ac:dyDescent="0.3">
      <c r="A640" s="1" t="s">
        <v>676</v>
      </c>
      <c r="B640" s="1">
        <v>14</v>
      </c>
      <c r="C640" s="1" t="s">
        <v>19</v>
      </c>
      <c r="D640" s="1" t="s">
        <v>50</v>
      </c>
      <c r="E640" s="1" t="s">
        <v>40</v>
      </c>
      <c r="F640" s="1">
        <v>366</v>
      </c>
      <c r="G640" s="1">
        <v>175</v>
      </c>
      <c r="H640" s="1" t="s">
        <v>32</v>
      </c>
      <c r="I640" s="1" t="s">
        <v>16</v>
      </c>
      <c r="J640" s="1" t="s">
        <v>38</v>
      </c>
      <c r="K640" s="1">
        <v>67.7</v>
      </c>
      <c r="L640" s="1">
        <v>65.69</v>
      </c>
    </row>
    <row r="641" spans="1:12" ht="15.6" x14ac:dyDescent="0.3">
      <c r="A641" s="1" t="s">
        <v>677</v>
      </c>
      <c r="B641" s="1">
        <v>31</v>
      </c>
      <c r="C641" s="1" t="s">
        <v>34</v>
      </c>
      <c r="D641" s="1" t="s">
        <v>14</v>
      </c>
      <c r="E641" s="1" t="s">
        <v>36</v>
      </c>
      <c r="F641" s="1">
        <v>546</v>
      </c>
      <c r="G641" s="1">
        <v>119</v>
      </c>
      <c r="H641" s="1" t="s">
        <v>22</v>
      </c>
      <c r="I641" s="1" t="s">
        <v>23</v>
      </c>
      <c r="J641" s="1" t="s">
        <v>24</v>
      </c>
      <c r="K641" s="1">
        <v>30.82</v>
      </c>
      <c r="L641" s="1">
        <v>39.770000000000003</v>
      </c>
    </row>
    <row r="642" spans="1:12" ht="15.6" x14ac:dyDescent="0.3">
      <c r="A642" s="1" t="s">
        <v>678</v>
      </c>
      <c r="B642" s="1">
        <v>46</v>
      </c>
      <c r="C642" s="1" t="s">
        <v>13</v>
      </c>
      <c r="D642" s="1" t="s">
        <v>35</v>
      </c>
      <c r="E642" s="1" t="s">
        <v>31</v>
      </c>
      <c r="F642" s="1">
        <v>530</v>
      </c>
      <c r="G642" s="1">
        <v>310</v>
      </c>
      <c r="H642" s="1" t="s">
        <v>48</v>
      </c>
      <c r="I642" s="1" t="s">
        <v>16</v>
      </c>
      <c r="J642" s="1" t="s">
        <v>24</v>
      </c>
      <c r="K642" s="1">
        <v>59.2</v>
      </c>
      <c r="L642" s="1">
        <v>62.28</v>
      </c>
    </row>
    <row r="643" spans="1:12" ht="15.6" x14ac:dyDescent="0.3">
      <c r="A643" s="1" t="s">
        <v>679</v>
      </c>
      <c r="B643" s="1">
        <v>52</v>
      </c>
      <c r="C643" s="1" t="s">
        <v>13</v>
      </c>
      <c r="D643" s="1" t="s">
        <v>27</v>
      </c>
      <c r="E643" s="1" t="s">
        <v>45</v>
      </c>
      <c r="F643" s="1">
        <v>188</v>
      </c>
      <c r="G643" s="1">
        <v>176</v>
      </c>
      <c r="H643" s="1" t="s">
        <v>22</v>
      </c>
      <c r="I643" s="1" t="s">
        <v>16</v>
      </c>
      <c r="J643" s="1" t="s">
        <v>17</v>
      </c>
      <c r="K643" s="1">
        <v>50.39</v>
      </c>
      <c r="L643" s="1">
        <v>41.83</v>
      </c>
    </row>
    <row r="644" spans="1:12" ht="15.6" x14ac:dyDescent="0.3">
      <c r="A644" s="1" t="s">
        <v>680</v>
      </c>
      <c r="B644" s="1">
        <v>52</v>
      </c>
      <c r="C644" s="1" t="s">
        <v>19</v>
      </c>
      <c r="D644" s="1" t="s">
        <v>14</v>
      </c>
      <c r="E644" s="1" t="s">
        <v>40</v>
      </c>
      <c r="F644" s="1">
        <v>461</v>
      </c>
      <c r="G644" s="1">
        <v>95</v>
      </c>
      <c r="H644" s="1" t="s">
        <v>32</v>
      </c>
      <c r="I644" s="1" t="s">
        <v>16</v>
      </c>
      <c r="J644" s="1" t="s">
        <v>17</v>
      </c>
      <c r="K644" s="1">
        <v>78.23</v>
      </c>
      <c r="L644" s="1">
        <v>58.43</v>
      </c>
    </row>
    <row r="645" spans="1:12" ht="15.6" x14ac:dyDescent="0.3">
      <c r="A645" s="1" t="s">
        <v>681</v>
      </c>
      <c r="B645" s="1">
        <v>37</v>
      </c>
      <c r="C645" s="1" t="s">
        <v>29</v>
      </c>
      <c r="D645" s="1" t="s">
        <v>27</v>
      </c>
      <c r="E645" s="1" t="s">
        <v>2</v>
      </c>
      <c r="F645" s="1">
        <v>446</v>
      </c>
      <c r="G645" s="1">
        <v>370</v>
      </c>
      <c r="H645" s="1" t="s">
        <v>48</v>
      </c>
      <c r="I645" s="1" t="s">
        <v>23</v>
      </c>
      <c r="J645" s="1" t="s">
        <v>38</v>
      </c>
      <c r="K645" s="1">
        <v>18.66</v>
      </c>
      <c r="L645" s="1">
        <v>77.400000000000006</v>
      </c>
    </row>
    <row r="646" spans="1:12" ht="15.6" x14ac:dyDescent="0.3">
      <c r="A646" s="1" t="s">
        <v>682</v>
      </c>
      <c r="B646" s="1">
        <v>32</v>
      </c>
      <c r="C646" s="1" t="s">
        <v>34</v>
      </c>
      <c r="D646" s="1" t="s">
        <v>30</v>
      </c>
      <c r="E646" s="1" t="s">
        <v>21</v>
      </c>
      <c r="F646" s="1">
        <v>254</v>
      </c>
      <c r="G646" s="1">
        <v>320</v>
      </c>
      <c r="H646" s="1" t="s">
        <v>15</v>
      </c>
      <c r="I646" s="1" t="s">
        <v>16</v>
      </c>
      <c r="J646" s="1" t="s">
        <v>17</v>
      </c>
      <c r="K646" s="1">
        <v>38.549999999999997</v>
      </c>
      <c r="L646" s="1">
        <v>37.78</v>
      </c>
    </row>
    <row r="647" spans="1:12" ht="15.6" x14ac:dyDescent="0.3">
      <c r="A647" s="1" t="s">
        <v>683</v>
      </c>
      <c r="B647" s="1">
        <v>42</v>
      </c>
      <c r="C647" s="1" t="s">
        <v>26</v>
      </c>
      <c r="D647" s="1" t="s">
        <v>27</v>
      </c>
      <c r="E647" s="1" t="s">
        <v>2</v>
      </c>
      <c r="F647" s="1">
        <v>505</v>
      </c>
      <c r="G647" s="1">
        <v>272</v>
      </c>
      <c r="H647" s="1" t="s">
        <v>22</v>
      </c>
      <c r="I647" s="1" t="s">
        <v>16</v>
      </c>
      <c r="J647" s="1" t="s">
        <v>38</v>
      </c>
      <c r="K647" s="1">
        <v>83.75</v>
      </c>
      <c r="L647" s="1">
        <v>37</v>
      </c>
    </row>
    <row r="648" spans="1:12" ht="15.6" x14ac:dyDescent="0.3">
      <c r="A648" s="1" t="s">
        <v>684</v>
      </c>
      <c r="B648" s="1">
        <v>32</v>
      </c>
      <c r="C648" s="1" t="s">
        <v>26</v>
      </c>
      <c r="D648" s="1" t="s">
        <v>50</v>
      </c>
      <c r="E648" s="1" t="s">
        <v>45</v>
      </c>
      <c r="F648" s="1">
        <v>164</v>
      </c>
      <c r="G648" s="1">
        <v>12</v>
      </c>
      <c r="H648" s="1" t="s">
        <v>48</v>
      </c>
      <c r="I648" s="1" t="s">
        <v>16</v>
      </c>
      <c r="J648" s="1" t="s">
        <v>38</v>
      </c>
      <c r="K648" s="1">
        <v>64.489999999999995</v>
      </c>
      <c r="L648" s="1">
        <v>43.23</v>
      </c>
    </row>
    <row r="649" spans="1:12" ht="15.6" x14ac:dyDescent="0.3">
      <c r="A649" s="1" t="s">
        <v>685</v>
      </c>
      <c r="B649" s="1">
        <v>28</v>
      </c>
      <c r="C649" s="1" t="s">
        <v>13</v>
      </c>
      <c r="D649" s="1" t="s">
        <v>20</v>
      </c>
      <c r="E649" s="1" t="s">
        <v>21</v>
      </c>
      <c r="F649" s="1">
        <v>374</v>
      </c>
      <c r="G649" s="1">
        <v>262</v>
      </c>
      <c r="H649" s="1" t="s">
        <v>48</v>
      </c>
      <c r="I649" s="1" t="s">
        <v>23</v>
      </c>
      <c r="J649" s="1" t="s">
        <v>38</v>
      </c>
      <c r="K649" s="1">
        <v>30.14</v>
      </c>
      <c r="L649" s="1">
        <v>53.05</v>
      </c>
    </row>
    <row r="650" spans="1:12" ht="15.6" x14ac:dyDescent="0.3">
      <c r="A650" s="1" t="s">
        <v>686</v>
      </c>
      <c r="B650" s="1">
        <v>53</v>
      </c>
      <c r="C650" s="1" t="s">
        <v>13</v>
      </c>
      <c r="D650" s="1" t="s">
        <v>27</v>
      </c>
      <c r="E650" s="1" t="s">
        <v>31</v>
      </c>
      <c r="F650" s="1">
        <v>428</v>
      </c>
      <c r="G650" s="1">
        <v>28</v>
      </c>
      <c r="H650" s="1" t="s">
        <v>15</v>
      </c>
      <c r="I650" s="1" t="s">
        <v>23</v>
      </c>
      <c r="J650" s="1" t="s">
        <v>38</v>
      </c>
      <c r="K650" s="1">
        <v>60.15</v>
      </c>
      <c r="L650" s="1">
        <v>63.15</v>
      </c>
    </row>
    <row r="651" spans="1:12" ht="15.6" x14ac:dyDescent="0.3">
      <c r="A651" s="1" t="s">
        <v>687</v>
      </c>
      <c r="B651" s="1">
        <v>38</v>
      </c>
      <c r="C651" s="1" t="s">
        <v>19</v>
      </c>
      <c r="D651" s="1" t="s">
        <v>35</v>
      </c>
      <c r="E651" s="1" t="s">
        <v>36</v>
      </c>
      <c r="F651" s="1">
        <v>97</v>
      </c>
      <c r="G651" s="1">
        <v>359</v>
      </c>
      <c r="H651" s="1" t="s">
        <v>37</v>
      </c>
      <c r="I651" s="1" t="s">
        <v>23</v>
      </c>
      <c r="J651" s="1" t="s">
        <v>17</v>
      </c>
      <c r="K651" s="1">
        <v>63.23</v>
      </c>
      <c r="L651" s="1">
        <v>35.770000000000003</v>
      </c>
    </row>
    <row r="652" spans="1:12" ht="15.6" x14ac:dyDescent="0.3">
      <c r="A652" s="1" t="s">
        <v>688</v>
      </c>
      <c r="B652" s="1">
        <v>15</v>
      </c>
      <c r="C652" s="1" t="s">
        <v>13</v>
      </c>
      <c r="D652" s="1" t="s">
        <v>14</v>
      </c>
      <c r="E652" s="1" t="s">
        <v>21</v>
      </c>
      <c r="F652" s="1">
        <v>34</v>
      </c>
      <c r="G652" s="1">
        <v>251</v>
      </c>
      <c r="H652" s="1" t="s">
        <v>48</v>
      </c>
      <c r="I652" s="1" t="s">
        <v>23</v>
      </c>
      <c r="J652" s="1" t="s">
        <v>38</v>
      </c>
      <c r="K652" s="1">
        <v>22.6</v>
      </c>
      <c r="L652" s="1">
        <v>34.42</v>
      </c>
    </row>
    <row r="653" spans="1:12" ht="15.6" x14ac:dyDescent="0.3">
      <c r="A653" s="1" t="s">
        <v>689</v>
      </c>
      <c r="B653" s="1">
        <v>60</v>
      </c>
      <c r="C653" s="1" t="s">
        <v>13</v>
      </c>
      <c r="D653" s="1" t="s">
        <v>50</v>
      </c>
      <c r="E653" s="1" t="s">
        <v>31</v>
      </c>
      <c r="F653" s="1">
        <v>215</v>
      </c>
      <c r="G653" s="1">
        <v>372</v>
      </c>
      <c r="H653" s="1" t="s">
        <v>48</v>
      </c>
      <c r="I653" s="1" t="s">
        <v>23</v>
      </c>
      <c r="J653" s="1" t="s">
        <v>38</v>
      </c>
      <c r="K653" s="1">
        <v>47.89</v>
      </c>
      <c r="L653" s="1">
        <v>67.17</v>
      </c>
    </row>
    <row r="654" spans="1:12" ht="15.6" x14ac:dyDescent="0.3">
      <c r="A654" s="1" t="s">
        <v>690</v>
      </c>
      <c r="B654" s="1">
        <v>55</v>
      </c>
      <c r="C654" s="1" t="s">
        <v>19</v>
      </c>
      <c r="D654" s="1" t="s">
        <v>50</v>
      </c>
      <c r="E654" s="1" t="s">
        <v>21</v>
      </c>
      <c r="F654" s="1">
        <v>427</v>
      </c>
      <c r="G654" s="1">
        <v>1000</v>
      </c>
      <c r="H654" s="1" t="s">
        <v>37</v>
      </c>
      <c r="I654" s="1" t="s">
        <v>16</v>
      </c>
      <c r="J654" s="1" t="s">
        <v>38</v>
      </c>
      <c r="K654" s="1">
        <v>25.39</v>
      </c>
      <c r="L654" s="1">
        <v>43</v>
      </c>
    </row>
    <row r="655" spans="1:12" ht="15.6" x14ac:dyDescent="0.3">
      <c r="A655" s="1" t="s">
        <v>691</v>
      </c>
      <c r="B655" s="1">
        <v>38</v>
      </c>
      <c r="C655" s="1" t="s">
        <v>19</v>
      </c>
      <c r="D655" s="1" t="s">
        <v>50</v>
      </c>
      <c r="E655" s="1" t="s">
        <v>40</v>
      </c>
      <c r="F655" s="1">
        <v>475</v>
      </c>
      <c r="G655" s="1">
        <v>123</v>
      </c>
      <c r="H655" s="1" t="s">
        <v>48</v>
      </c>
      <c r="I655" s="1" t="s">
        <v>23</v>
      </c>
      <c r="J655" s="1" t="s">
        <v>38</v>
      </c>
      <c r="K655" s="1">
        <v>16.96</v>
      </c>
      <c r="L655" s="1">
        <v>39.909999999999997</v>
      </c>
    </row>
    <row r="656" spans="1:12" ht="15.6" x14ac:dyDescent="0.3">
      <c r="A656" s="1" t="s">
        <v>692</v>
      </c>
      <c r="B656" s="1">
        <v>16</v>
      </c>
      <c r="C656" s="1" t="s">
        <v>34</v>
      </c>
      <c r="D656" s="1" t="s">
        <v>20</v>
      </c>
      <c r="E656" s="1" t="s">
        <v>40</v>
      </c>
      <c r="F656" s="1">
        <v>486</v>
      </c>
      <c r="G656" s="1">
        <v>230</v>
      </c>
      <c r="H656" s="1" t="s">
        <v>32</v>
      </c>
      <c r="I656" s="1" t="s">
        <v>16</v>
      </c>
      <c r="J656" s="1" t="s">
        <v>24</v>
      </c>
      <c r="K656" s="1">
        <v>69.010000000000005</v>
      </c>
      <c r="L656" s="1">
        <v>31.48</v>
      </c>
    </row>
    <row r="657" spans="1:12" ht="15.6" x14ac:dyDescent="0.3">
      <c r="A657" s="1" t="s">
        <v>693</v>
      </c>
      <c r="B657" s="1">
        <v>29</v>
      </c>
      <c r="C657" s="1" t="s">
        <v>19</v>
      </c>
      <c r="D657" s="1" t="s">
        <v>35</v>
      </c>
      <c r="E657" s="1" t="s">
        <v>40</v>
      </c>
      <c r="F657" s="1">
        <v>170</v>
      </c>
      <c r="G657" s="1">
        <v>138</v>
      </c>
      <c r="H657" s="1" t="s">
        <v>22</v>
      </c>
      <c r="I657" s="1" t="s">
        <v>16</v>
      </c>
      <c r="J657" s="1" t="s">
        <v>38</v>
      </c>
      <c r="K657" s="1">
        <v>36.01</v>
      </c>
      <c r="L657" s="1">
        <v>35.700000000000003</v>
      </c>
    </row>
    <row r="658" spans="1:12" ht="15.6" x14ac:dyDescent="0.3">
      <c r="A658" s="1" t="s">
        <v>694</v>
      </c>
      <c r="B658" s="1">
        <v>27</v>
      </c>
      <c r="C658" s="1" t="s">
        <v>26</v>
      </c>
      <c r="D658" s="1" t="s">
        <v>30</v>
      </c>
      <c r="E658" s="1" t="s">
        <v>21</v>
      </c>
      <c r="F658" s="1">
        <v>441</v>
      </c>
      <c r="G658" s="1">
        <v>424</v>
      </c>
      <c r="H658" s="1" t="s">
        <v>15</v>
      </c>
      <c r="I658" s="1" t="s">
        <v>23</v>
      </c>
      <c r="J658" s="1" t="s">
        <v>38</v>
      </c>
      <c r="K658" s="1">
        <v>81.98</v>
      </c>
      <c r="L658" s="1">
        <v>11.15</v>
      </c>
    </row>
    <row r="659" spans="1:12" ht="15.6" x14ac:dyDescent="0.3">
      <c r="A659" s="1" t="s">
        <v>695</v>
      </c>
      <c r="B659" s="1">
        <v>41</v>
      </c>
      <c r="C659" s="1" t="s">
        <v>26</v>
      </c>
      <c r="D659" s="1" t="s">
        <v>30</v>
      </c>
      <c r="E659" s="1" t="s">
        <v>2</v>
      </c>
      <c r="F659" s="1">
        <v>17</v>
      </c>
      <c r="G659" s="1">
        <v>335</v>
      </c>
      <c r="H659" s="1" t="s">
        <v>22</v>
      </c>
      <c r="I659" s="1" t="s">
        <v>23</v>
      </c>
      <c r="J659" s="1" t="s">
        <v>24</v>
      </c>
      <c r="K659" s="1">
        <v>56.31</v>
      </c>
      <c r="L659" s="1">
        <v>15.65</v>
      </c>
    </row>
    <row r="660" spans="1:12" ht="15.6" x14ac:dyDescent="0.3">
      <c r="A660" s="1" t="s">
        <v>696</v>
      </c>
      <c r="B660" s="1">
        <v>39</v>
      </c>
      <c r="C660" s="1" t="s">
        <v>19</v>
      </c>
      <c r="D660" s="1" t="s">
        <v>14</v>
      </c>
      <c r="E660" s="1" t="s">
        <v>36</v>
      </c>
      <c r="F660" s="1">
        <v>458</v>
      </c>
      <c r="G660" s="1">
        <v>487</v>
      </c>
      <c r="H660" s="1" t="s">
        <v>15</v>
      </c>
      <c r="I660" s="1" t="s">
        <v>16</v>
      </c>
      <c r="J660" s="1" t="s">
        <v>24</v>
      </c>
      <c r="K660" s="1">
        <v>65.36</v>
      </c>
      <c r="L660" s="1">
        <v>22.2</v>
      </c>
    </row>
    <row r="661" spans="1:12" ht="15.6" x14ac:dyDescent="0.3">
      <c r="A661" s="1" t="s">
        <v>697</v>
      </c>
      <c r="B661" s="1">
        <v>14</v>
      </c>
      <c r="C661" s="1" t="s">
        <v>13</v>
      </c>
      <c r="D661" s="1" t="s">
        <v>35</v>
      </c>
      <c r="E661" s="1" t="s">
        <v>2</v>
      </c>
      <c r="F661" s="1">
        <v>123</v>
      </c>
      <c r="G661" s="1">
        <v>321</v>
      </c>
      <c r="H661" s="1" t="s">
        <v>48</v>
      </c>
      <c r="I661" s="1" t="s">
        <v>23</v>
      </c>
      <c r="J661" s="1" t="s">
        <v>24</v>
      </c>
      <c r="K661" s="1">
        <v>59.77</v>
      </c>
      <c r="L661" s="1">
        <v>39.18</v>
      </c>
    </row>
    <row r="662" spans="1:12" ht="15.6" x14ac:dyDescent="0.3">
      <c r="A662" s="1" t="s">
        <v>698</v>
      </c>
      <c r="B662" s="1">
        <v>50</v>
      </c>
      <c r="C662" s="1" t="s">
        <v>19</v>
      </c>
      <c r="D662" s="1" t="s">
        <v>20</v>
      </c>
      <c r="E662" s="1" t="s">
        <v>2</v>
      </c>
      <c r="F662" s="1">
        <v>299</v>
      </c>
      <c r="G662" s="1">
        <v>431</v>
      </c>
      <c r="H662" s="1" t="s">
        <v>32</v>
      </c>
      <c r="I662" s="1" t="s">
        <v>23</v>
      </c>
      <c r="J662" s="1" t="s">
        <v>24</v>
      </c>
      <c r="K662" s="1">
        <v>74.459999999999994</v>
      </c>
      <c r="L662" s="1">
        <v>59.95</v>
      </c>
    </row>
    <row r="663" spans="1:12" ht="15.6" x14ac:dyDescent="0.3">
      <c r="A663" s="1" t="s">
        <v>699</v>
      </c>
      <c r="B663" s="1">
        <v>26</v>
      </c>
      <c r="C663" s="1" t="s">
        <v>34</v>
      </c>
      <c r="D663" s="1" t="s">
        <v>20</v>
      </c>
      <c r="E663" s="1" t="s">
        <v>21</v>
      </c>
      <c r="F663" s="1">
        <v>13</v>
      </c>
      <c r="G663" s="1">
        <v>439</v>
      </c>
      <c r="H663" s="1" t="s">
        <v>37</v>
      </c>
      <c r="I663" s="1" t="s">
        <v>23</v>
      </c>
      <c r="J663" s="1" t="s">
        <v>38</v>
      </c>
      <c r="K663" s="1">
        <v>44.85</v>
      </c>
      <c r="L663" s="1">
        <v>52.48</v>
      </c>
    </row>
    <row r="664" spans="1:12" ht="15.6" x14ac:dyDescent="0.3">
      <c r="A664" s="1" t="s">
        <v>700</v>
      </c>
      <c r="B664" s="1">
        <v>52</v>
      </c>
      <c r="C664" s="1" t="s">
        <v>13</v>
      </c>
      <c r="D664" s="1" t="s">
        <v>30</v>
      </c>
      <c r="E664" s="1" t="s">
        <v>45</v>
      </c>
      <c r="F664" s="1">
        <v>373</v>
      </c>
      <c r="G664" s="1">
        <v>393</v>
      </c>
      <c r="H664" s="1" t="s">
        <v>37</v>
      </c>
      <c r="I664" s="1" t="s">
        <v>23</v>
      </c>
      <c r="J664" s="1" t="s">
        <v>17</v>
      </c>
      <c r="K664" s="1">
        <v>32.76</v>
      </c>
      <c r="L664" s="1">
        <v>41.85</v>
      </c>
    </row>
    <row r="665" spans="1:12" ht="15.6" x14ac:dyDescent="0.3">
      <c r="A665" s="1" t="s">
        <v>701</v>
      </c>
      <c r="B665" s="1">
        <v>16</v>
      </c>
      <c r="C665" s="1" t="s">
        <v>29</v>
      </c>
      <c r="D665" s="1" t="s">
        <v>14</v>
      </c>
      <c r="E665" s="1" t="s">
        <v>2</v>
      </c>
      <c r="F665" s="1">
        <v>217</v>
      </c>
      <c r="G665" s="1">
        <v>313</v>
      </c>
      <c r="H665" s="1" t="s">
        <v>22</v>
      </c>
      <c r="I665" s="1" t="s">
        <v>23</v>
      </c>
      <c r="J665" s="1" t="s">
        <v>17</v>
      </c>
      <c r="K665" s="1">
        <v>18.239999999999998</v>
      </c>
      <c r="L665" s="1">
        <v>67.069999999999993</v>
      </c>
    </row>
    <row r="666" spans="1:12" ht="15.6" x14ac:dyDescent="0.3">
      <c r="A666" s="1" t="s">
        <v>702</v>
      </c>
      <c r="B666" s="1">
        <v>51</v>
      </c>
      <c r="C666" s="1" t="s">
        <v>34</v>
      </c>
      <c r="D666" s="1" t="s">
        <v>14</v>
      </c>
      <c r="E666" s="1" t="s">
        <v>31</v>
      </c>
      <c r="F666" s="1">
        <v>522</v>
      </c>
      <c r="G666" s="1">
        <v>1</v>
      </c>
      <c r="H666" s="1" t="s">
        <v>32</v>
      </c>
      <c r="I666" s="1" t="s">
        <v>23</v>
      </c>
      <c r="J666" s="1" t="s">
        <v>24</v>
      </c>
      <c r="K666" s="1">
        <v>55.14</v>
      </c>
      <c r="L666" s="1">
        <v>18</v>
      </c>
    </row>
    <row r="667" spans="1:12" ht="15.6" x14ac:dyDescent="0.3">
      <c r="A667" s="1" t="s">
        <v>703</v>
      </c>
      <c r="B667" s="1">
        <v>18</v>
      </c>
      <c r="C667" s="1" t="s">
        <v>29</v>
      </c>
      <c r="D667" s="1" t="s">
        <v>50</v>
      </c>
      <c r="E667" s="1" t="s">
        <v>31</v>
      </c>
      <c r="F667" s="1">
        <v>128</v>
      </c>
      <c r="G667" s="1">
        <v>337</v>
      </c>
      <c r="H667" s="1" t="s">
        <v>32</v>
      </c>
      <c r="I667" s="1" t="s">
        <v>16</v>
      </c>
      <c r="J667" s="1" t="s">
        <v>38</v>
      </c>
      <c r="K667" s="1">
        <v>76.06</v>
      </c>
      <c r="L667" s="1">
        <v>68.61</v>
      </c>
    </row>
    <row r="668" spans="1:12" ht="15.6" x14ac:dyDescent="0.3">
      <c r="A668" s="1" t="s">
        <v>704</v>
      </c>
      <c r="B668" s="1">
        <v>34</v>
      </c>
      <c r="C668" s="1" t="s">
        <v>26</v>
      </c>
      <c r="D668" s="1" t="s">
        <v>35</v>
      </c>
      <c r="E668" s="1" t="s">
        <v>40</v>
      </c>
      <c r="F668" s="1">
        <v>14</v>
      </c>
      <c r="G668" s="1">
        <v>247</v>
      </c>
      <c r="H668" s="1" t="s">
        <v>15</v>
      </c>
      <c r="I668" s="1" t="s">
        <v>23</v>
      </c>
      <c r="J668" s="1" t="s">
        <v>24</v>
      </c>
      <c r="K668" s="1">
        <v>17.940000000000001</v>
      </c>
      <c r="L668" s="1">
        <v>71.040000000000006</v>
      </c>
    </row>
    <row r="669" spans="1:12" ht="15.6" x14ac:dyDescent="0.3">
      <c r="A669" s="1" t="s">
        <v>705</v>
      </c>
      <c r="B669" s="1">
        <v>42</v>
      </c>
      <c r="C669" s="1" t="s">
        <v>13</v>
      </c>
      <c r="D669" s="1" t="s">
        <v>27</v>
      </c>
      <c r="E669" s="1" t="s">
        <v>36</v>
      </c>
      <c r="F669" s="1">
        <v>105</v>
      </c>
      <c r="G669" s="1">
        <v>320</v>
      </c>
      <c r="H669" s="1" t="s">
        <v>32</v>
      </c>
      <c r="I669" s="1" t="s">
        <v>23</v>
      </c>
      <c r="J669" s="1" t="s">
        <v>24</v>
      </c>
      <c r="K669" s="1">
        <v>46.36</v>
      </c>
      <c r="L669" s="1">
        <v>21.92</v>
      </c>
    </row>
    <row r="670" spans="1:12" ht="15.6" x14ac:dyDescent="0.3">
      <c r="A670" s="1" t="s">
        <v>706</v>
      </c>
      <c r="B670" s="1">
        <v>48</v>
      </c>
      <c r="C670" s="1" t="s">
        <v>19</v>
      </c>
      <c r="D670" s="1" t="s">
        <v>30</v>
      </c>
      <c r="E670" s="1" t="s">
        <v>31</v>
      </c>
      <c r="F670" s="1">
        <v>542</v>
      </c>
      <c r="G670" s="1">
        <v>379</v>
      </c>
      <c r="H670" s="1" t="s">
        <v>22</v>
      </c>
      <c r="I670" s="1" t="s">
        <v>23</v>
      </c>
      <c r="J670" s="1" t="s">
        <v>38</v>
      </c>
      <c r="K670" s="1">
        <v>21.19</v>
      </c>
      <c r="L670" s="1">
        <v>43.41</v>
      </c>
    </row>
    <row r="671" spans="1:12" ht="15.6" x14ac:dyDescent="0.3">
      <c r="A671" s="1" t="s">
        <v>707</v>
      </c>
      <c r="B671" s="1">
        <v>28</v>
      </c>
      <c r="C671" s="1" t="s">
        <v>26</v>
      </c>
      <c r="D671" s="1" t="s">
        <v>35</v>
      </c>
      <c r="E671" s="1" t="s">
        <v>2</v>
      </c>
      <c r="F671" s="1">
        <v>584</v>
      </c>
      <c r="G671" s="1">
        <v>277</v>
      </c>
      <c r="H671" s="1" t="s">
        <v>22</v>
      </c>
      <c r="I671" s="1" t="s">
        <v>23</v>
      </c>
      <c r="J671" s="1" t="s">
        <v>38</v>
      </c>
      <c r="K671" s="1">
        <v>88.32</v>
      </c>
      <c r="L671" s="1">
        <v>38.89</v>
      </c>
    </row>
    <row r="672" spans="1:12" ht="15.6" x14ac:dyDescent="0.3">
      <c r="A672" s="1" t="s">
        <v>708</v>
      </c>
      <c r="B672" s="1">
        <v>19</v>
      </c>
      <c r="C672" s="1" t="s">
        <v>34</v>
      </c>
      <c r="D672" s="1" t="s">
        <v>14</v>
      </c>
      <c r="E672" s="1" t="s">
        <v>36</v>
      </c>
      <c r="F672" s="1">
        <v>364</v>
      </c>
      <c r="G672" s="1">
        <v>9</v>
      </c>
      <c r="H672" s="1" t="s">
        <v>48</v>
      </c>
      <c r="I672" s="1" t="s">
        <v>23</v>
      </c>
      <c r="J672" s="1" t="s">
        <v>38</v>
      </c>
      <c r="K672" s="1">
        <v>16.93</v>
      </c>
      <c r="L672" s="1">
        <v>29.29</v>
      </c>
    </row>
    <row r="673" spans="1:12" ht="15.6" x14ac:dyDescent="0.3">
      <c r="A673" s="1" t="s">
        <v>709</v>
      </c>
      <c r="B673" s="1">
        <v>47</v>
      </c>
      <c r="C673" s="1" t="s">
        <v>29</v>
      </c>
      <c r="D673" s="1" t="s">
        <v>27</v>
      </c>
      <c r="E673" s="1" t="s">
        <v>21</v>
      </c>
      <c r="F673" s="1">
        <v>320</v>
      </c>
      <c r="G673" s="1">
        <v>298</v>
      </c>
      <c r="H673" s="1" t="s">
        <v>22</v>
      </c>
      <c r="I673" s="1" t="s">
        <v>16</v>
      </c>
      <c r="J673" s="1" t="s">
        <v>24</v>
      </c>
      <c r="K673" s="1">
        <v>40.92</v>
      </c>
      <c r="L673" s="1">
        <v>23.01</v>
      </c>
    </row>
    <row r="674" spans="1:12" ht="15.6" x14ac:dyDescent="0.3">
      <c r="A674" s="1" t="s">
        <v>710</v>
      </c>
      <c r="B674" s="1">
        <v>37</v>
      </c>
      <c r="C674" s="1" t="s">
        <v>19</v>
      </c>
      <c r="D674" s="1" t="s">
        <v>27</v>
      </c>
      <c r="E674" s="1" t="s">
        <v>40</v>
      </c>
      <c r="F674" s="1">
        <v>171</v>
      </c>
      <c r="G674" s="1">
        <v>287</v>
      </c>
      <c r="H674" s="1" t="s">
        <v>22</v>
      </c>
      <c r="I674" s="1" t="s">
        <v>23</v>
      </c>
      <c r="J674" s="1" t="s">
        <v>17</v>
      </c>
      <c r="K674" s="1">
        <v>65.5</v>
      </c>
      <c r="L674" s="1">
        <v>60.69</v>
      </c>
    </row>
    <row r="675" spans="1:12" ht="15.6" x14ac:dyDescent="0.3">
      <c r="A675" s="1" t="s">
        <v>711</v>
      </c>
      <c r="B675" s="1">
        <v>32</v>
      </c>
      <c r="C675" s="1" t="s">
        <v>34</v>
      </c>
      <c r="D675" s="1" t="s">
        <v>30</v>
      </c>
      <c r="E675" s="1" t="s">
        <v>21</v>
      </c>
      <c r="F675" s="1">
        <v>421</v>
      </c>
      <c r="G675" s="1">
        <v>177</v>
      </c>
      <c r="H675" s="1" t="s">
        <v>22</v>
      </c>
      <c r="I675" s="1" t="s">
        <v>16</v>
      </c>
      <c r="J675" s="1" t="s">
        <v>38</v>
      </c>
      <c r="K675" s="1">
        <v>41.34</v>
      </c>
      <c r="L675" s="1">
        <v>39.380000000000003</v>
      </c>
    </row>
    <row r="676" spans="1:12" ht="15.6" x14ac:dyDescent="0.3">
      <c r="A676" s="1" t="s">
        <v>712</v>
      </c>
      <c r="B676" s="1">
        <v>23</v>
      </c>
      <c r="C676" s="1" t="s">
        <v>19</v>
      </c>
      <c r="D676" s="1" t="s">
        <v>27</v>
      </c>
      <c r="E676" s="1" t="s">
        <v>45</v>
      </c>
      <c r="F676" s="1">
        <v>145</v>
      </c>
      <c r="G676" s="1">
        <v>274</v>
      </c>
      <c r="H676" s="1" t="s">
        <v>37</v>
      </c>
      <c r="I676" s="1" t="s">
        <v>23</v>
      </c>
      <c r="J676" s="1" t="s">
        <v>17</v>
      </c>
      <c r="K676" s="1">
        <v>49.31</v>
      </c>
      <c r="L676" s="1">
        <v>58.22</v>
      </c>
    </row>
    <row r="677" spans="1:12" ht="15.6" x14ac:dyDescent="0.3">
      <c r="A677" s="1" t="s">
        <v>713</v>
      </c>
      <c r="B677" s="1">
        <v>36</v>
      </c>
      <c r="C677" s="1" t="s">
        <v>13</v>
      </c>
      <c r="D677" s="1" t="s">
        <v>35</v>
      </c>
      <c r="E677" s="1" t="s">
        <v>36</v>
      </c>
      <c r="F677" s="1">
        <v>133</v>
      </c>
      <c r="G677" s="1">
        <v>459</v>
      </c>
      <c r="H677" s="1" t="s">
        <v>22</v>
      </c>
      <c r="I677" s="1" t="s">
        <v>16</v>
      </c>
      <c r="J677" s="1" t="s">
        <v>38</v>
      </c>
      <c r="K677" s="1">
        <v>82.66</v>
      </c>
      <c r="L677" s="1">
        <v>49.14</v>
      </c>
    </row>
    <row r="678" spans="1:12" ht="15.6" x14ac:dyDescent="0.3">
      <c r="A678" s="1" t="s">
        <v>714</v>
      </c>
      <c r="B678" s="1">
        <v>46</v>
      </c>
      <c r="C678" s="1" t="s">
        <v>29</v>
      </c>
      <c r="D678" s="1" t="s">
        <v>35</v>
      </c>
      <c r="E678" s="1" t="s">
        <v>40</v>
      </c>
      <c r="F678" s="1">
        <v>237</v>
      </c>
      <c r="G678" s="1">
        <v>450</v>
      </c>
      <c r="H678" s="1" t="s">
        <v>48</v>
      </c>
      <c r="I678" s="1" t="s">
        <v>16</v>
      </c>
      <c r="J678" s="1" t="s">
        <v>17</v>
      </c>
      <c r="K678" s="1">
        <v>68.03</v>
      </c>
      <c r="L678" s="1">
        <v>35.549999999999997</v>
      </c>
    </row>
    <row r="679" spans="1:12" ht="15.6" x14ac:dyDescent="0.3">
      <c r="A679" s="1" t="s">
        <v>715</v>
      </c>
      <c r="B679" s="1">
        <v>19</v>
      </c>
      <c r="C679" s="1" t="s">
        <v>19</v>
      </c>
      <c r="D679" s="1" t="s">
        <v>35</v>
      </c>
      <c r="E679" s="1" t="s">
        <v>36</v>
      </c>
      <c r="F679" s="1">
        <v>138</v>
      </c>
      <c r="G679" s="1">
        <v>18</v>
      </c>
      <c r="H679" s="1" t="s">
        <v>37</v>
      </c>
      <c r="I679" s="1" t="s">
        <v>16</v>
      </c>
      <c r="J679" s="1" t="s">
        <v>38</v>
      </c>
      <c r="K679" s="1">
        <v>64.44</v>
      </c>
      <c r="L679" s="1">
        <v>12.11</v>
      </c>
    </row>
    <row r="680" spans="1:12" ht="15.6" x14ac:dyDescent="0.3">
      <c r="A680" s="1" t="s">
        <v>716</v>
      </c>
      <c r="B680" s="1">
        <v>24</v>
      </c>
      <c r="C680" s="1" t="s">
        <v>13</v>
      </c>
      <c r="D680" s="1" t="s">
        <v>30</v>
      </c>
      <c r="E680" s="1" t="s">
        <v>21</v>
      </c>
      <c r="F680" s="1">
        <v>518</v>
      </c>
      <c r="G680" s="1">
        <v>329</v>
      </c>
      <c r="H680" s="1" t="s">
        <v>22</v>
      </c>
      <c r="I680" s="1" t="s">
        <v>23</v>
      </c>
      <c r="J680" s="1" t="s">
        <v>17</v>
      </c>
      <c r="K680" s="1">
        <v>29.98</v>
      </c>
      <c r="L680" s="1">
        <v>30.38</v>
      </c>
    </row>
    <row r="681" spans="1:12" ht="15.6" x14ac:dyDescent="0.3">
      <c r="A681" s="1" t="s">
        <v>717</v>
      </c>
      <c r="B681" s="1">
        <v>31</v>
      </c>
      <c r="C681" s="1" t="s">
        <v>34</v>
      </c>
      <c r="D681" s="1" t="s">
        <v>50</v>
      </c>
      <c r="E681" s="1" t="s">
        <v>40</v>
      </c>
      <c r="F681" s="1">
        <v>558</v>
      </c>
      <c r="G681" s="1">
        <v>45</v>
      </c>
      <c r="H681" s="1" t="s">
        <v>37</v>
      </c>
      <c r="I681" s="1" t="s">
        <v>16</v>
      </c>
      <c r="J681" s="1" t="s">
        <v>24</v>
      </c>
      <c r="K681" s="1">
        <v>57.43</v>
      </c>
      <c r="L681" s="1">
        <v>9.94</v>
      </c>
    </row>
    <row r="682" spans="1:12" ht="15.6" x14ac:dyDescent="0.3">
      <c r="A682" s="1" t="s">
        <v>718</v>
      </c>
      <c r="B682" s="1">
        <v>26</v>
      </c>
      <c r="C682" s="1" t="s">
        <v>19</v>
      </c>
      <c r="D682" s="1" t="s">
        <v>14</v>
      </c>
      <c r="E682" s="1" t="s">
        <v>45</v>
      </c>
      <c r="F682" s="1">
        <v>570</v>
      </c>
      <c r="G682" s="1">
        <v>291</v>
      </c>
      <c r="H682" s="1" t="s">
        <v>22</v>
      </c>
      <c r="I682" s="1" t="s">
        <v>23</v>
      </c>
      <c r="J682" s="1" t="s">
        <v>17</v>
      </c>
      <c r="K682" s="1">
        <v>25.12</v>
      </c>
      <c r="L682" s="1">
        <v>35.020000000000003</v>
      </c>
    </row>
    <row r="683" spans="1:12" ht="15.6" x14ac:dyDescent="0.3">
      <c r="A683" s="1" t="s">
        <v>719</v>
      </c>
      <c r="B683" s="1">
        <v>37</v>
      </c>
      <c r="C683" s="1" t="s">
        <v>13</v>
      </c>
      <c r="D683" s="1" t="s">
        <v>35</v>
      </c>
      <c r="E683" s="1" t="s">
        <v>21</v>
      </c>
      <c r="F683" s="1">
        <v>95</v>
      </c>
      <c r="G683" s="1">
        <v>201</v>
      </c>
      <c r="H683" s="1" t="s">
        <v>32</v>
      </c>
      <c r="I683" s="1" t="s">
        <v>23</v>
      </c>
      <c r="J683" s="1" t="s">
        <v>38</v>
      </c>
      <c r="K683" s="1">
        <v>14.45</v>
      </c>
      <c r="L683" s="1">
        <v>73.47</v>
      </c>
    </row>
    <row r="684" spans="1:12" ht="15.6" x14ac:dyDescent="0.3">
      <c r="A684" s="1" t="s">
        <v>720</v>
      </c>
      <c r="B684" s="1">
        <v>44</v>
      </c>
      <c r="C684" s="1" t="s">
        <v>26</v>
      </c>
      <c r="D684" s="1" t="s">
        <v>14</v>
      </c>
      <c r="E684" s="1" t="s">
        <v>45</v>
      </c>
      <c r="F684" s="1">
        <v>207</v>
      </c>
      <c r="G684" s="1">
        <v>76</v>
      </c>
      <c r="H684" s="1" t="s">
        <v>22</v>
      </c>
      <c r="I684" s="1" t="s">
        <v>16</v>
      </c>
      <c r="J684" s="1" t="s">
        <v>17</v>
      </c>
      <c r="K684" s="1">
        <v>55.75</v>
      </c>
      <c r="L684" s="1">
        <v>56.6</v>
      </c>
    </row>
    <row r="685" spans="1:12" ht="15.6" x14ac:dyDescent="0.3">
      <c r="A685" s="1" t="s">
        <v>721</v>
      </c>
      <c r="B685" s="1">
        <v>42</v>
      </c>
      <c r="C685" s="1" t="s">
        <v>13</v>
      </c>
      <c r="D685" s="1" t="s">
        <v>50</v>
      </c>
      <c r="E685" s="1" t="s">
        <v>31</v>
      </c>
      <c r="F685" s="1">
        <v>174</v>
      </c>
      <c r="G685" s="1">
        <v>443</v>
      </c>
      <c r="H685" s="1" t="s">
        <v>15</v>
      </c>
      <c r="I685" s="1" t="s">
        <v>16</v>
      </c>
      <c r="J685" s="1" t="s">
        <v>17</v>
      </c>
      <c r="K685" s="1">
        <v>47</v>
      </c>
      <c r="L685" s="1">
        <v>51.19</v>
      </c>
    </row>
    <row r="686" spans="1:12" ht="15.6" x14ac:dyDescent="0.3">
      <c r="A686" s="1" t="s">
        <v>722</v>
      </c>
      <c r="B686" s="1">
        <v>51</v>
      </c>
      <c r="C686" s="1" t="s">
        <v>29</v>
      </c>
      <c r="D686" s="1" t="s">
        <v>20</v>
      </c>
      <c r="E686" s="1" t="s">
        <v>36</v>
      </c>
      <c r="F686" s="1">
        <v>411</v>
      </c>
      <c r="G686" s="1">
        <v>397</v>
      </c>
      <c r="H686" s="1" t="s">
        <v>48</v>
      </c>
      <c r="I686" s="1" t="s">
        <v>16</v>
      </c>
      <c r="J686" s="1" t="s">
        <v>38</v>
      </c>
      <c r="K686" s="1">
        <v>10.65</v>
      </c>
      <c r="L686" s="1">
        <v>28.68</v>
      </c>
    </row>
    <row r="687" spans="1:12" ht="15.6" x14ac:dyDescent="0.3">
      <c r="A687" s="1" t="s">
        <v>723</v>
      </c>
      <c r="B687" s="1">
        <v>22</v>
      </c>
      <c r="C687" s="1" t="s">
        <v>29</v>
      </c>
      <c r="D687" s="1" t="s">
        <v>35</v>
      </c>
      <c r="E687" s="1" t="s">
        <v>2</v>
      </c>
      <c r="F687" s="1">
        <v>480</v>
      </c>
      <c r="G687" s="1">
        <v>106</v>
      </c>
      <c r="H687" s="1" t="s">
        <v>22</v>
      </c>
      <c r="I687" s="1" t="s">
        <v>16</v>
      </c>
      <c r="J687" s="1" t="s">
        <v>38</v>
      </c>
      <c r="K687" s="1">
        <v>22.43</v>
      </c>
      <c r="L687" s="1">
        <v>32.630000000000003</v>
      </c>
    </row>
    <row r="688" spans="1:12" ht="15.6" x14ac:dyDescent="0.3">
      <c r="A688" s="1" t="s">
        <v>724</v>
      </c>
      <c r="B688" s="1">
        <v>25</v>
      </c>
      <c r="C688" s="1" t="s">
        <v>13</v>
      </c>
      <c r="D688" s="1" t="s">
        <v>35</v>
      </c>
      <c r="E688" s="1" t="s">
        <v>2</v>
      </c>
      <c r="F688" s="1">
        <v>31</v>
      </c>
      <c r="G688" s="1">
        <v>190</v>
      </c>
      <c r="H688" s="1" t="s">
        <v>15</v>
      </c>
      <c r="I688" s="1" t="s">
        <v>16</v>
      </c>
      <c r="J688" s="1" t="s">
        <v>24</v>
      </c>
      <c r="K688" s="1">
        <v>75.37</v>
      </c>
      <c r="L688" s="1">
        <v>62.15</v>
      </c>
    </row>
    <row r="689" spans="1:12" ht="15.6" x14ac:dyDescent="0.3">
      <c r="A689" s="1" t="s">
        <v>725</v>
      </c>
      <c r="B689" s="1">
        <v>14</v>
      </c>
      <c r="C689" s="1" t="s">
        <v>26</v>
      </c>
      <c r="D689" s="1" t="s">
        <v>35</v>
      </c>
      <c r="E689" s="1" t="s">
        <v>21</v>
      </c>
      <c r="F689" s="1">
        <v>158</v>
      </c>
      <c r="G689" s="1">
        <v>362</v>
      </c>
      <c r="H689" s="1" t="s">
        <v>15</v>
      </c>
      <c r="I689" s="1" t="s">
        <v>23</v>
      </c>
      <c r="J689" s="1" t="s">
        <v>38</v>
      </c>
      <c r="K689" s="1">
        <v>74.37</v>
      </c>
      <c r="L689" s="1">
        <v>12.09</v>
      </c>
    </row>
    <row r="690" spans="1:12" ht="15.6" x14ac:dyDescent="0.3">
      <c r="A690" s="1" t="s">
        <v>726</v>
      </c>
      <c r="B690" s="1">
        <v>23</v>
      </c>
      <c r="C690" s="1" t="s">
        <v>19</v>
      </c>
      <c r="D690" s="1" t="s">
        <v>30</v>
      </c>
      <c r="E690" s="1" t="s">
        <v>31</v>
      </c>
      <c r="F690" s="1">
        <v>594</v>
      </c>
      <c r="G690" s="1">
        <v>251</v>
      </c>
      <c r="H690" s="1" t="s">
        <v>22</v>
      </c>
      <c r="I690" s="1" t="s">
        <v>16</v>
      </c>
      <c r="J690" s="1" t="s">
        <v>17</v>
      </c>
      <c r="K690" s="1">
        <v>31.92</v>
      </c>
      <c r="L690" s="1">
        <v>26.39</v>
      </c>
    </row>
    <row r="691" spans="1:12" ht="15.6" x14ac:dyDescent="0.3">
      <c r="A691" s="1" t="s">
        <v>727</v>
      </c>
      <c r="B691" s="1">
        <v>52</v>
      </c>
      <c r="C691" s="1" t="s">
        <v>19</v>
      </c>
      <c r="D691" s="1" t="s">
        <v>35</v>
      </c>
      <c r="E691" s="1" t="s">
        <v>31</v>
      </c>
      <c r="F691" s="1">
        <v>395</v>
      </c>
      <c r="G691" s="1">
        <v>437</v>
      </c>
      <c r="H691" s="1" t="s">
        <v>32</v>
      </c>
      <c r="I691" s="1" t="s">
        <v>23</v>
      </c>
      <c r="J691" s="1" t="s">
        <v>38</v>
      </c>
      <c r="K691" s="1">
        <v>28.31</v>
      </c>
      <c r="L691" s="1">
        <v>56.89</v>
      </c>
    </row>
    <row r="692" spans="1:12" ht="15.6" x14ac:dyDescent="0.3">
      <c r="A692" s="1" t="s">
        <v>728</v>
      </c>
      <c r="B692" s="1">
        <v>34</v>
      </c>
      <c r="C692" s="1" t="s">
        <v>13</v>
      </c>
      <c r="D692" s="1" t="s">
        <v>30</v>
      </c>
      <c r="E692" s="1" t="s">
        <v>36</v>
      </c>
      <c r="F692" s="1">
        <v>112</v>
      </c>
      <c r="G692" s="1">
        <v>15</v>
      </c>
      <c r="H692" s="1" t="s">
        <v>32</v>
      </c>
      <c r="I692" s="1" t="s">
        <v>23</v>
      </c>
      <c r="J692" s="1" t="s">
        <v>38</v>
      </c>
      <c r="K692" s="1">
        <v>27.48</v>
      </c>
      <c r="L692" s="1">
        <v>34.03</v>
      </c>
    </row>
    <row r="693" spans="1:12" ht="15.6" x14ac:dyDescent="0.3">
      <c r="A693" s="1" t="s">
        <v>729</v>
      </c>
      <c r="B693" s="1">
        <v>31</v>
      </c>
      <c r="C693" s="1" t="s">
        <v>26</v>
      </c>
      <c r="D693" s="1" t="s">
        <v>27</v>
      </c>
      <c r="E693" s="1" t="s">
        <v>40</v>
      </c>
      <c r="F693" s="1">
        <v>394</v>
      </c>
      <c r="G693" s="1">
        <v>298</v>
      </c>
      <c r="H693" s="1" t="s">
        <v>22</v>
      </c>
      <c r="I693" s="1" t="s">
        <v>16</v>
      </c>
      <c r="J693" s="1" t="s">
        <v>24</v>
      </c>
      <c r="K693" s="1">
        <v>22.57</v>
      </c>
      <c r="L693" s="1">
        <v>23.31</v>
      </c>
    </row>
    <row r="694" spans="1:12" ht="15.6" x14ac:dyDescent="0.3">
      <c r="A694" s="1" t="s">
        <v>730</v>
      </c>
      <c r="B694" s="1">
        <v>46</v>
      </c>
      <c r="C694" s="1" t="s">
        <v>13</v>
      </c>
      <c r="D694" s="1" t="s">
        <v>35</v>
      </c>
      <c r="E694" s="1" t="s">
        <v>36</v>
      </c>
      <c r="F694" s="1">
        <v>337</v>
      </c>
      <c r="G694" s="1">
        <v>46</v>
      </c>
      <c r="H694" s="1" t="s">
        <v>32</v>
      </c>
      <c r="I694" s="1" t="s">
        <v>23</v>
      </c>
      <c r="J694" s="1" t="s">
        <v>38</v>
      </c>
      <c r="K694" s="1">
        <v>70.709999999999994</v>
      </c>
      <c r="L694" s="1">
        <v>9.5399999999999991</v>
      </c>
    </row>
    <row r="695" spans="1:12" ht="15.6" x14ac:dyDescent="0.3">
      <c r="A695" s="1" t="s">
        <v>731</v>
      </c>
      <c r="B695" s="1">
        <v>39</v>
      </c>
      <c r="C695" s="1" t="s">
        <v>13</v>
      </c>
      <c r="D695" s="1" t="s">
        <v>30</v>
      </c>
      <c r="E695" s="1" t="s">
        <v>45</v>
      </c>
      <c r="F695" s="1">
        <v>211</v>
      </c>
      <c r="G695" s="1">
        <v>135</v>
      </c>
      <c r="H695" s="1" t="s">
        <v>32</v>
      </c>
      <c r="I695" s="1" t="s">
        <v>16</v>
      </c>
      <c r="J695" s="1" t="s">
        <v>24</v>
      </c>
      <c r="K695" s="1">
        <v>88.55</v>
      </c>
      <c r="L695" s="1">
        <v>43.24</v>
      </c>
    </row>
    <row r="696" spans="1:12" ht="15.6" x14ac:dyDescent="0.3">
      <c r="A696" s="1" t="s">
        <v>732</v>
      </c>
      <c r="B696" s="1">
        <v>36</v>
      </c>
      <c r="C696" s="1" t="s">
        <v>34</v>
      </c>
      <c r="D696" s="1" t="s">
        <v>27</v>
      </c>
      <c r="E696" s="1" t="s">
        <v>21</v>
      </c>
      <c r="F696" s="1">
        <v>527</v>
      </c>
      <c r="G696" s="1">
        <v>172</v>
      </c>
      <c r="H696" s="1" t="s">
        <v>37</v>
      </c>
      <c r="I696" s="1" t="s">
        <v>23</v>
      </c>
      <c r="J696" s="1" t="s">
        <v>17</v>
      </c>
      <c r="K696" s="1">
        <v>82.11</v>
      </c>
      <c r="L696" s="1">
        <v>9.7200000000000006</v>
      </c>
    </row>
    <row r="697" spans="1:12" ht="15.6" x14ac:dyDescent="0.3">
      <c r="A697" s="1" t="s">
        <v>733</v>
      </c>
      <c r="B697" s="1">
        <v>42</v>
      </c>
      <c r="C697" s="1" t="s">
        <v>26</v>
      </c>
      <c r="D697" s="1" t="s">
        <v>27</v>
      </c>
      <c r="E697" s="1" t="s">
        <v>21</v>
      </c>
      <c r="F697" s="1">
        <v>149</v>
      </c>
      <c r="G697" s="1">
        <v>379</v>
      </c>
      <c r="H697" s="1" t="s">
        <v>48</v>
      </c>
      <c r="I697" s="1" t="s">
        <v>23</v>
      </c>
      <c r="J697" s="1" t="s">
        <v>17</v>
      </c>
      <c r="K697" s="1">
        <v>16.899999999999999</v>
      </c>
      <c r="L697" s="1">
        <v>36.9</v>
      </c>
    </row>
    <row r="698" spans="1:12" ht="15.6" x14ac:dyDescent="0.3">
      <c r="A698" s="1" t="s">
        <v>734</v>
      </c>
      <c r="B698" s="1">
        <v>56</v>
      </c>
      <c r="C698" s="1" t="s">
        <v>13</v>
      </c>
      <c r="D698" s="1" t="s">
        <v>30</v>
      </c>
      <c r="E698" s="1" t="s">
        <v>36</v>
      </c>
      <c r="F698" s="1">
        <v>463</v>
      </c>
      <c r="G698" s="1">
        <v>140</v>
      </c>
      <c r="H698" s="1" t="s">
        <v>48</v>
      </c>
      <c r="I698" s="1" t="s">
        <v>23</v>
      </c>
      <c r="J698" s="1" t="s">
        <v>17</v>
      </c>
      <c r="K698" s="1">
        <v>41.22</v>
      </c>
      <c r="L698" s="1">
        <v>11.82</v>
      </c>
    </row>
    <row r="699" spans="1:12" ht="15.6" x14ac:dyDescent="0.3">
      <c r="A699" s="1" t="s">
        <v>735</v>
      </c>
      <c r="B699" s="1">
        <v>23</v>
      </c>
      <c r="C699" s="1" t="s">
        <v>19</v>
      </c>
      <c r="D699" s="1" t="s">
        <v>20</v>
      </c>
      <c r="E699" s="1" t="s">
        <v>31</v>
      </c>
      <c r="F699" s="1">
        <v>437</v>
      </c>
      <c r="G699" s="1">
        <v>439</v>
      </c>
      <c r="H699" s="1" t="s">
        <v>48</v>
      </c>
      <c r="I699" s="1" t="s">
        <v>16</v>
      </c>
      <c r="J699" s="1" t="s">
        <v>38</v>
      </c>
      <c r="K699" s="1">
        <v>89.75</v>
      </c>
      <c r="L699" s="1">
        <v>47.82</v>
      </c>
    </row>
    <row r="700" spans="1:12" ht="15.6" x14ac:dyDescent="0.3">
      <c r="A700" s="1" t="s">
        <v>736</v>
      </c>
      <c r="B700" s="1">
        <v>34</v>
      </c>
      <c r="C700" s="1" t="s">
        <v>34</v>
      </c>
      <c r="D700" s="1" t="s">
        <v>20</v>
      </c>
      <c r="E700" s="1" t="s">
        <v>36</v>
      </c>
      <c r="F700" s="1">
        <v>492</v>
      </c>
      <c r="G700" s="1">
        <v>315</v>
      </c>
      <c r="H700" s="1" t="s">
        <v>37</v>
      </c>
      <c r="I700" s="1" t="s">
        <v>23</v>
      </c>
      <c r="J700" s="1" t="s">
        <v>38</v>
      </c>
      <c r="K700" s="1">
        <v>15.9</v>
      </c>
      <c r="L700" s="1">
        <v>54.34</v>
      </c>
    </row>
    <row r="701" spans="1:12" ht="15.6" x14ac:dyDescent="0.3">
      <c r="A701" s="1" t="s">
        <v>737</v>
      </c>
      <c r="B701" s="1">
        <v>47</v>
      </c>
      <c r="C701" s="1" t="s">
        <v>13</v>
      </c>
      <c r="D701" s="1" t="s">
        <v>20</v>
      </c>
      <c r="E701" s="1" t="s">
        <v>2</v>
      </c>
      <c r="F701" s="1">
        <v>285</v>
      </c>
      <c r="G701" s="1">
        <v>208</v>
      </c>
      <c r="H701" s="1" t="s">
        <v>15</v>
      </c>
      <c r="I701" s="1" t="s">
        <v>16</v>
      </c>
      <c r="J701" s="1" t="s">
        <v>38</v>
      </c>
      <c r="K701" s="1">
        <v>43.81</v>
      </c>
      <c r="L701" s="1">
        <v>20.28</v>
      </c>
    </row>
    <row r="702" spans="1:12" ht="15.6" x14ac:dyDescent="0.3">
      <c r="A702" s="1" t="s">
        <v>738</v>
      </c>
      <c r="B702" s="1">
        <v>40</v>
      </c>
      <c r="C702" s="1" t="s">
        <v>26</v>
      </c>
      <c r="D702" s="1" t="s">
        <v>14</v>
      </c>
      <c r="E702" s="1" t="s">
        <v>21</v>
      </c>
      <c r="F702" s="1">
        <v>231</v>
      </c>
      <c r="G702" s="1">
        <v>169</v>
      </c>
      <c r="H702" s="1" t="s">
        <v>22</v>
      </c>
      <c r="I702" s="1" t="s">
        <v>23</v>
      </c>
      <c r="J702" s="1" t="s">
        <v>38</v>
      </c>
      <c r="K702" s="1">
        <v>76.14</v>
      </c>
      <c r="L702" s="1">
        <v>21.37</v>
      </c>
    </row>
    <row r="703" spans="1:12" ht="15.6" x14ac:dyDescent="0.3">
      <c r="A703" s="1" t="s">
        <v>739</v>
      </c>
      <c r="B703" s="1">
        <v>21</v>
      </c>
      <c r="C703" s="1" t="s">
        <v>29</v>
      </c>
      <c r="D703" s="1" t="s">
        <v>27</v>
      </c>
      <c r="E703" s="1" t="s">
        <v>40</v>
      </c>
      <c r="F703" s="1">
        <v>446</v>
      </c>
      <c r="G703" s="1">
        <v>485</v>
      </c>
      <c r="H703" s="1" t="s">
        <v>37</v>
      </c>
      <c r="I703" s="1" t="s">
        <v>23</v>
      </c>
      <c r="J703" s="1" t="s">
        <v>17</v>
      </c>
      <c r="K703" s="1">
        <v>20.43</v>
      </c>
      <c r="L703" s="1">
        <v>8.42</v>
      </c>
    </row>
    <row r="704" spans="1:12" ht="15.6" x14ac:dyDescent="0.3">
      <c r="A704" s="1" t="s">
        <v>740</v>
      </c>
      <c r="B704" s="1">
        <v>55</v>
      </c>
      <c r="C704" s="1" t="s">
        <v>26</v>
      </c>
      <c r="D704" s="1" t="s">
        <v>35</v>
      </c>
      <c r="E704" s="1" t="s">
        <v>40</v>
      </c>
      <c r="F704" s="1">
        <v>559</v>
      </c>
      <c r="G704" s="1">
        <v>482</v>
      </c>
      <c r="H704" s="1" t="s">
        <v>48</v>
      </c>
      <c r="I704" s="1" t="s">
        <v>23</v>
      </c>
      <c r="J704" s="1" t="s">
        <v>38</v>
      </c>
      <c r="K704" s="1">
        <v>79.650000000000006</v>
      </c>
      <c r="L704" s="1">
        <v>54.67</v>
      </c>
    </row>
    <row r="705" spans="1:12" ht="15.6" x14ac:dyDescent="0.3">
      <c r="A705" s="1" t="s">
        <v>741</v>
      </c>
      <c r="B705" s="1">
        <v>17</v>
      </c>
      <c r="C705" s="1" t="s">
        <v>26</v>
      </c>
      <c r="D705" s="1" t="s">
        <v>35</v>
      </c>
      <c r="E705" s="1" t="s">
        <v>21</v>
      </c>
      <c r="F705" s="1">
        <v>502</v>
      </c>
      <c r="G705" s="1">
        <v>178</v>
      </c>
      <c r="H705" s="1" t="s">
        <v>48</v>
      </c>
      <c r="I705" s="1" t="s">
        <v>23</v>
      </c>
      <c r="J705" s="1" t="s">
        <v>24</v>
      </c>
      <c r="K705" s="1">
        <v>20.87</v>
      </c>
      <c r="L705" s="1">
        <v>55.73</v>
      </c>
    </row>
    <row r="706" spans="1:12" ht="15.6" x14ac:dyDescent="0.3">
      <c r="A706" s="1" t="s">
        <v>742</v>
      </c>
      <c r="B706" s="1">
        <v>44</v>
      </c>
      <c r="C706" s="1" t="s">
        <v>13</v>
      </c>
      <c r="D706" s="1" t="s">
        <v>14</v>
      </c>
      <c r="E706" s="1" t="s">
        <v>36</v>
      </c>
      <c r="F706" s="1">
        <v>32</v>
      </c>
      <c r="G706" s="1">
        <v>364</v>
      </c>
      <c r="H706" s="1" t="s">
        <v>37</v>
      </c>
      <c r="I706" s="1" t="s">
        <v>16</v>
      </c>
      <c r="J706" s="1" t="s">
        <v>24</v>
      </c>
      <c r="K706" s="1">
        <v>87.96</v>
      </c>
      <c r="L706" s="1">
        <v>21.22</v>
      </c>
    </row>
    <row r="707" spans="1:12" ht="15.6" x14ac:dyDescent="0.3">
      <c r="A707" s="1" t="s">
        <v>743</v>
      </c>
      <c r="B707" s="1">
        <v>36</v>
      </c>
      <c r="C707" s="1" t="s">
        <v>19</v>
      </c>
      <c r="D707" s="1" t="s">
        <v>30</v>
      </c>
      <c r="E707" s="1" t="s">
        <v>31</v>
      </c>
      <c r="F707" s="1">
        <v>334</v>
      </c>
      <c r="G707" s="1">
        <v>80</v>
      </c>
      <c r="H707" s="1" t="s">
        <v>15</v>
      </c>
      <c r="I707" s="1" t="s">
        <v>23</v>
      </c>
      <c r="J707" s="1" t="s">
        <v>17</v>
      </c>
      <c r="K707" s="1">
        <v>56.46</v>
      </c>
      <c r="L707" s="1">
        <v>30.55</v>
      </c>
    </row>
    <row r="708" spans="1:12" ht="15.6" x14ac:dyDescent="0.3">
      <c r="A708" s="1" t="s">
        <v>744</v>
      </c>
      <c r="B708" s="1">
        <v>53</v>
      </c>
      <c r="C708" s="1" t="s">
        <v>26</v>
      </c>
      <c r="D708" s="1" t="s">
        <v>27</v>
      </c>
      <c r="E708" s="1" t="s">
        <v>2</v>
      </c>
      <c r="F708" s="1">
        <v>579</v>
      </c>
      <c r="G708" s="1">
        <v>477</v>
      </c>
      <c r="H708" s="1" t="s">
        <v>37</v>
      </c>
      <c r="I708" s="1" t="s">
        <v>16</v>
      </c>
      <c r="J708" s="1" t="s">
        <v>38</v>
      </c>
      <c r="K708" s="1">
        <v>41.94</v>
      </c>
      <c r="L708" s="1">
        <v>21.96</v>
      </c>
    </row>
    <row r="709" spans="1:12" ht="15.6" x14ac:dyDescent="0.3">
      <c r="A709" s="1" t="s">
        <v>745</v>
      </c>
      <c r="B709" s="1">
        <v>29</v>
      </c>
      <c r="C709" s="1" t="s">
        <v>19</v>
      </c>
      <c r="D709" s="1" t="s">
        <v>30</v>
      </c>
      <c r="E709" s="1" t="s">
        <v>2</v>
      </c>
      <c r="F709" s="1">
        <v>167</v>
      </c>
      <c r="G709" s="1">
        <v>485</v>
      </c>
      <c r="H709" s="1" t="s">
        <v>48</v>
      </c>
      <c r="I709" s="1" t="s">
        <v>16</v>
      </c>
      <c r="J709" s="1" t="s">
        <v>17</v>
      </c>
      <c r="K709" s="1">
        <v>31.48</v>
      </c>
      <c r="L709" s="1">
        <v>37.74</v>
      </c>
    </row>
    <row r="710" spans="1:12" ht="15.6" x14ac:dyDescent="0.3">
      <c r="A710" s="1" t="s">
        <v>746</v>
      </c>
      <c r="B710" s="1">
        <v>52</v>
      </c>
      <c r="C710" s="1" t="s">
        <v>34</v>
      </c>
      <c r="D710" s="1" t="s">
        <v>14</v>
      </c>
      <c r="E710" s="1" t="s">
        <v>36</v>
      </c>
      <c r="F710" s="1">
        <v>383</v>
      </c>
      <c r="G710" s="1">
        <v>2</v>
      </c>
      <c r="H710" s="1" t="s">
        <v>15</v>
      </c>
      <c r="I710" s="1" t="s">
        <v>23</v>
      </c>
      <c r="J710" s="1" t="s">
        <v>38</v>
      </c>
      <c r="K710" s="1">
        <v>61.7</v>
      </c>
      <c r="L710" s="1">
        <v>70.319999999999993</v>
      </c>
    </row>
    <row r="711" spans="1:12" ht="15.6" x14ac:dyDescent="0.3">
      <c r="A711" s="1" t="s">
        <v>747</v>
      </c>
      <c r="B711" s="1">
        <v>33</v>
      </c>
      <c r="C711" s="1" t="s">
        <v>29</v>
      </c>
      <c r="D711" s="1" t="s">
        <v>14</v>
      </c>
      <c r="E711" s="1" t="s">
        <v>2</v>
      </c>
      <c r="F711" s="1">
        <v>575</v>
      </c>
      <c r="G711" s="1">
        <v>341</v>
      </c>
      <c r="H711" s="1" t="s">
        <v>37</v>
      </c>
      <c r="I711" s="1" t="s">
        <v>16</v>
      </c>
      <c r="J711" s="1" t="s">
        <v>24</v>
      </c>
      <c r="K711" s="1">
        <v>65.69</v>
      </c>
      <c r="L711" s="1">
        <v>31.39</v>
      </c>
    </row>
    <row r="712" spans="1:12" ht="15.6" x14ac:dyDescent="0.3">
      <c r="A712" s="1" t="s">
        <v>748</v>
      </c>
      <c r="B712" s="1">
        <v>32</v>
      </c>
      <c r="C712" s="1" t="s">
        <v>26</v>
      </c>
      <c r="D712" s="1" t="s">
        <v>35</v>
      </c>
      <c r="E712" s="1" t="s">
        <v>45</v>
      </c>
      <c r="F712" s="1">
        <v>258</v>
      </c>
      <c r="G712" s="1">
        <v>417</v>
      </c>
      <c r="H712" s="1" t="s">
        <v>32</v>
      </c>
      <c r="I712" s="1" t="s">
        <v>16</v>
      </c>
      <c r="J712" s="1" t="s">
        <v>38</v>
      </c>
      <c r="K712" s="1">
        <v>16.62</v>
      </c>
      <c r="L712" s="1">
        <v>41.23</v>
      </c>
    </row>
    <row r="713" spans="1:12" ht="15.6" x14ac:dyDescent="0.3">
      <c r="A713" s="1" t="s">
        <v>749</v>
      </c>
      <c r="B713" s="1">
        <v>57</v>
      </c>
      <c r="C713" s="1" t="s">
        <v>34</v>
      </c>
      <c r="D713" s="1" t="s">
        <v>50</v>
      </c>
      <c r="E713" s="1" t="s">
        <v>40</v>
      </c>
      <c r="F713" s="1">
        <v>190</v>
      </c>
      <c r="G713" s="1">
        <v>31</v>
      </c>
      <c r="H713" s="1" t="s">
        <v>48</v>
      </c>
      <c r="I713" s="1" t="s">
        <v>23</v>
      </c>
      <c r="J713" s="1" t="s">
        <v>38</v>
      </c>
      <c r="K713" s="1">
        <v>58.51</v>
      </c>
      <c r="L713" s="1">
        <v>38.450000000000003</v>
      </c>
    </row>
    <row r="714" spans="1:12" ht="15.6" x14ac:dyDescent="0.3">
      <c r="A714" s="1" t="s">
        <v>750</v>
      </c>
      <c r="B714" s="1">
        <v>57</v>
      </c>
      <c r="C714" s="1" t="s">
        <v>13</v>
      </c>
      <c r="D714" s="1" t="s">
        <v>14</v>
      </c>
      <c r="E714" s="1" t="s">
        <v>40</v>
      </c>
      <c r="F714" s="1">
        <v>476</v>
      </c>
      <c r="G714" s="1">
        <v>90</v>
      </c>
      <c r="H714" s="1" t="s">
        <v>48</v>
      </c>
      <c r="I714" s="1" t="s">
        <v>23</v>
      </c>
      <c r="J714" s="1" t="s">
        <v>17</v>
      </c>
      <c r="K714" s="1">
        <v>73.989999999999995</v>
      </c>
      <c r="L714" s="1">
        <v>24.54</v>
      </c>
    </row>
    <row r="715" spans="1:12" ht="15.6" x14ac:dyDescent="0.3">
      <c r="A715" s="1" t="s">
        <v>751</v>
      </c>
      <c r="B715" s="1">
        <v>26</v>
      </c>
      <c r="C715" s="1" t="s">
        <v>29</v>
      </c>
      <c r="D715" s="1" t="s">
        <v>20</v>
      </c>
      <c r="E715" s="1" t="s">
        <v>21</v>
      </c>
      <c r="F715" s="1">
        <v>368</v>
      </c>
      <c r="G715" s="1">
        <v>249</v>
      </c>
      <c r="H715" s="1" t="s">
        <v>32</v>
      </c>
      <c r="I715" s="1" t="s">
        <v>23</v>
      </c>
      <c r="J715" s="1" t="s">
        <v>38</v>
      </c>
      <c r="K715" s="1">
        <v>26.61</v>
      </c>
      <c r="L715" s="1">
        <v>57.83</v>
      </c>
    </row>
    <row r="716" spans="1:12" ht="15.6" x14ac:dyDescent="0.3">
      <c r="A716" s="1" t="s">
        <v>752</v>
      </c>
      <c r="B716" s="1">
        <v>55</v>
      </c>
      <c r="C716" s="1" t="s">
        <v>29</v>
      </c>
      <c r="D716" s="1" t="s">
        <v>20</v>
      </c>
      <c r="E716" s="1" t="s">
        <v>45</v>
      </c>
      <c r="F716" s="1">
        <v>585</v>
      </c>
      <c r="G716" s="1">
        <v>157</v>
      </c>
      <c r="H716" s="1" t="s">
        <v>32</v>
      </c>
      <c r="I716" s="1" t="s">
        <v>16</v>
      </c>
      <c r="J716" s="1" t="s">
        <v>17</v>
      </c>
      <c r="K716" s="1">
        <v>16.8</v>
      </c>
      <c r="L716" s="1">
        <v>68.94</v>
      </c>
    </row>
    <row r="717" spans="1:12" ht="15.6" x14ac:dyDescent="0.3">
      <c r="A717" s="1" t="s">
        <v>753</v>
      </c>
      <c r="B717" s="1">
        <v>46</v>
      </c>
      <c r="C717" s="1" t="s">
        <v>34</v>
      </c>
      <c r="D717" s="1" t="s">
        <v>14</v>
      </c>
      <c r="E717" s="1" t="s">
        <v>21</v>
      </c>
      <c r="F717" s="1">
        <v>593</v>
      </c>
      <c r="G717" s="1">
        <v>408</v>
      </c>
      <c r="H717" s="1" t="s">
        <v>32</v>
      </c>
      <c r="I717" s="1" t="s">
        <v>16</v>
      </c>
      <c r="J717" s="1" t="s">
        <v>38</v>
      </c>
      <c r="K717" s="1">
        <v>34.17</v>
      </c>
      <c r="L717" s="1">
        <v>43.06</v>
      </c>
    </row>
    <row r="718" spans="1:12" ht="15.6" x14ac:dyDescent="0.3">
      <c r="A718" s="1" t="s">
        <v>754</v>
      </c>
      <c r="B718" s="1">
        <v>44</v>
      </c>
      <c r="C718" s="1" t="s">
        <v>29</v>
      </c>
      <c r="D718" s="1" t="s">
        <v>50</v>
      </c>
      <c r="E718" s="1" t="s">
        <v>31</v>
      </c>
      <c r="F718" s="1">
        <v>548</v>
      </c>
      <c r="G718" s="1">
        <v>84</v>
      </c>
      <c r="H718" s="1" t="s">
        <v>32</v>
      </c>
      <c r="I718" s="1" t="s">
        <v>16</v>
      </c>
      <c r="J718" s="1" t="s">
        <v>38</v>
      </c>
      <c r="K718" s="1">
        <v>45.38</v>
      </c>
      <c r="L718" s="1">
        <v>58.95</v>
      </c>
    </row>
    <row r="719" spans="1:12" ht="15.6" x14ac:dyDescent="0.3">
      <c r="A719" s="1" t="s">
        <v>755</v>
      </c>
      <c r="B719" s="1">
        <v>57</v>
      </c>
      <c r="C719" s="1" t="s">
        <v>19</v>
      </c>
      <c r="D719" s="1" t="s">
        <v>20</v>
      </c>
      <c r="E719" s="1" t="s">
        <v>21</v>
      </c>
      <c r="F719" s="1">
        <v>77</v>
      </c>
      <c r="G719" s="1">
        <v>259</v>
      </c>
      <c r="H719" s="1" t="s">
        <v>22</v>
      </c>
      <c r="I719" s="1" t="s">
        <v>23</v>
      </c>
      <c r="J719" s="1" t="s">
        <v>17</v>
      </c>
      <c r="K719" s="1">
        <v>68.38</v>
      </c>
      <c r="L719" s="1">
        <v>16.13</v>
      </c>
    </row>
    <row r="720" spans="1:12" ht="15.6" x14ac:dyDescent="0.3">
      <c r="A720" s="1" t="s">
        <v>756</v>
      </c>
      <c r="B720" s="1">
        <v>50</v>
      </c>
      <c r="C720" s="1" t="s">
        <v>19</v>
      </c>
      <c r="D720" s="1" t="s">
        <v>35</v>
      </c>
      <c r="E720" s="1" t="s">
        <v>40</v>
      </c>
      <c r="F720" s="1">
        <v>577</v>
      </c>
      <c r="G720" s="1">
        <v>130</v>
      </c>
      <c r="H720" s="1" t="s">
        <v>15</v>
      </c>
      <c r="I720" s="1" t="s">
        <v>16</v>
      </c>
      <c r="J720" s="1" t="s">
        <v>24</v>
      </c>
      <c r="K720" s="1">
        <v>63.65</v>
      </c>
      <c r="L720" s="1">
        <v>38.01</v>
      </c>
    </row>
    <row r="721" spans="1:12" ht="15.6" x14ac:dyDescent="0.3">
      <c r="A721" s="1" t="s">
        <v>757</v>
      </c>
      <c r="B721" s="1">
        <v>53</v>
      </c>
      <c r="C721" s="1" t="s">
        <v>13</v>
      </c>
      <c r="D721" s="1" t="s">
        <v>30</v>
      </c>
      <c r="E721" s="1" t="s">
        <v>21</v>
      </c>
      <c r="F721" s="1">
        <v>98</v>
      </c>
      <c r="G721" s="1">
        <v>488</v>
      </c>
      <c r="H721" s="1" t="s">
        <v>48</v>
      </c>
      <c r="I721" s="1" t="s">
        <v>16</v>
      </c>
      <c r="J721" s="1" t="s">
        <v>17</v>
      </c>
      <c r="K721" s="1">
        <v>31.96</v>
      </c>
      <c r="L721" s="1">
        <v>8.1999999999999993</v>
      </c>
    </row>
    <row r="722" spans="1:12" ht="15.6" x14ac:dyDescent="0.3">
      <c r="A722" s="1" t="s">
        <v>758</v>
      </c>
      <c r="B722" s="1">
        <v>16</v>
      </c>
      <c r="C722" s="1" t="s">
        <v>19</v>
      </c>
      <c r="D722" s="1" t="s">
        <v>35</v>
      </c>
      <c r="E722" s="1" t="s">
        <v>40</v>
      </c>
      <c r="F722" s="1">
        <v>72</v>
      </c>
      <c r="G722" s="1">
        <v>156</v>
      </c>
      <c r="H722" s="1" t="s">
        <v>48</v>
      </c>
      <c r="I722" s="1" t="s">
        <v>16</v>
      </c>
      <c r="J722" s="1" t="s">
        <v>17</v>
      </c>
      <c r="K722" s="1">
        <v>23.59</v>
      </c>
      <c r="L722" s="1">
        <v>36.85</v>
      </c>
    </row>
    <row r="723" spans="1:12" ht="15.6" x14ac:dyDescent="0.3">
      <c r="A723" s="1" t="s">
        <v>759</v>
      </c>
      <c r="B723" s="1">
        <v>15</v>
      </c>
      <c r="C723" s="1" t="s">
        <v>34</v>
      </c>
      <c r="D723" s="1" t="s">
        <v>30</v>
      </c>
      <c r="E723" s="1" t="s">
        <v>2</v>
      </c>
      <c r="F723" s="1">
        <v>409</v>
      </c>
      <c r="G723" s="1">
        <v>498</v>
      </c>
      <c r="H723" s="1" t="s">
        <v>48</v>
      </c>
      <c r="I723" s="1" t="s">
        <v>16</v>
      </c>
      <c r="J723" s="1" t="s">
        <v>38</v>
      </c>
      <c r="K723" s="1">
        <v>38.549999999999997</v>
      </c>
      <c r="L723" s="1">
        <v>36.950000000000003</v>
      </c>
    </row>
    <row r="724" spans="1:12" ht="15.6" x14ac:dyDescent="0.3">
      <c r="A724" s="1" t="s">
        <v>760</v>
      </c>
      <c r="B724" s="1">
        <v>24</v>
      </c>
      <c r="C724" s="1" t="s">
        <v>19</v>
      </c>
      <c r="D724" s="1" t="s">
        <v>27</v>
      </c>
      <c r="E724" s="1" t="s">
        <v>40</v>
      </c>
      <c r="F724" s="1">
        <v>33</v>
      </c>
      <c r="G724" s="1">
        <v>107</v>
      </c>
      <c r="H724" s="1" t="s">
        <v>32</v>
      </c>
      <c r="I724" s="1" t="s">
        <v>16</v>
      </c>
      <c r="J724" s="1" t="s">
        <v>24</v>
      </c>
      <c r="K724" s="1">
        <v>52.92</v>
      </c>
      <c r="L724" s="1">
        <v>5.1100000000000003</v>
      </c>
    </row>
    <row r="725" spans="1:12" ht="15.6" x14ac:dyDescent="0.3">
      <c r="A725" s="1" t="s">
        <v>761</v>
      </c>
      <c r="B725" s="1">
        <v>59</v>
      </c>
      <c r="C725" s="1" t="s">
        <v>19</v>
      </c>
      <c r="D725" s="1" t="s">
        <v>20</v>
      </c>
      <c r="E725" s="1" t="s">
        <v>40</v>
      </c>
      <c r="F725" s="1">
        <v>576</v>
      </c>
      <c r="G725" s="1">
        <v>101</v>
      </c>
      <c r="H725" s="1" t="s">
        <v>32</v>
      </c>
      <c r="I725" s="1" t="s">
        <v>23</v>
      </c>
      <c r="J725" s="1" t="s">
        <v>38</v>
      </c>
      <c r="K725" s="1">
        <v>71.87</v>
      </c>
      <c r="L725" s="1">
        <v>17.850000000000001</v>
      </c>
    </row>
    <row r="726" spans="1:12" ht="15.6" x14ac:dyDescent="0.3">
      <c r="A726" s="1" t="s">
        <v>762</v>
      </c>
      <c r="B726" s="1">
        <v>49</v>
      </c>
      <c r="C726" s="1" t="s">
        <v>26</v>
      </c>
      <c r="D726" s="1" t="s">
        <v>35</v>
      </c>
      <c r="E726" s="1" t="s">
        <v>21</v>
      </c>
      <c r="F726" s="1">
        <v>35</v>
      </c>
      <c r="G726" s="1">
        <v>111</v>
      </c>
      <c r="H726" s="1" t="s">
        <v>48</v>
      </c>
      <c r="I726" s="1" t="s">
        <v>16</v>
      </c>
      <c r="J726" s="1" t="s">
        <v>17</v>
      </c>
      <c r="K726" s="1">
        <v>61.18</v>
      </c>
      <c r="L726" s="1">
        <v>35.6</v>
      </c>
    </row>
    <row r="727" spans="1:12" ht="15.6" x14ac:dyDescent="0.3">
      <c r="A727" s="1" t="s">
        <v>763</v>
      </c>
      <c r="B727" s="1">
        <v>39</v>
      </c>
      <c r="C727" s="1" t="s">
        <v>19</v>
      </c>
      <c r="D727" s="1" t="s">
        <v>20</v>
      </c>
      <c r="E727" s="1" t="s">
        <v>40</v>
      </c>
      <c r="F727" s="1">
        <v>348</v>
      </c>
      <c r="G727" s="1">
        <v>144</v>
      </c>
      <c r="H727" s="1" t="s">
        <v>37</v>
      </c>
      <c r="I727" s="1" t="s">
        <v>16</v>
      </c>
      <c r="J727" s="1" t="s">
        <v>38</v>
      </c>
      <c r="K727" s="1">
        <v>83.87</v>
      </c>
      <c r="L727" s="1">
        <v>25.09</v>
      </c>
    </row>
    <row r="728" spans="1:12" ht="15.6" x14ac:dyDescent="0.3">
      <c r="A728" s="1" t="s">
        <v>764</v>
      </c>
      <c r="B728" s="1">
        <v>30</v>
      </c>
      <c r="C728" s="1" t="s">
        <v>19</v>
      </c>
      <c r="D728" s="1" t="s">
        <v>20</v>
      </c>
      <c r="E728" s="1" t="s">
        <v>36</v>
      </c>
      <c r="F728" s="1">
        <v>452</v>
      </c>
      <c r="G728" s="1">
        <v>331</v>
      </c>
      <c r="H728" s="1" t="s">
        <v>37</v>
      </c>
      <c r="I728" s="1" t="s">
        <v>16</v>
      </c>
      <c r="J728" s="1" t="s">
        <v>17</v>
      </c>
      <c r="K728" s="1">
        <v>41.58</v>
      </c>
      <c r="L728" s="1">
        <v>70.44</v>
      </c>
    </row>
    <row r="729" spans="1:12" ht="15.6" x14ac:dyDescent="0.3">
      <c r="A729" s="1" t="s">
        <v>765</v>
      </c>
      <c r="B729" s="1">
        <v>35</v>
      </c>
      <c r="C729" s="1" t="s">
        <v>34</v>
      </c>
      <c r="D729" s="1" t="s">
        <v>35</v>
      </c>
      <c r="E729" s="1" t="s">
        <v>40</v>
      </c>
      <c r="F729" s="1">
        <v>173</v>
      </c>
      <c r="G729" s="1">
        <v>203</v>
      </c>
      <c r="H729" s="1" t="s">
        <v>48</v>
      </c>
      <c r="I729" s="1" t="s">
        <v>23</v>
      </c>
      <c r="J729" s="1" t="s">
        <v>17</v>
      </c>
      <c r="K729" s="1">
        <v>42.14</v>
      </c>
      <c r="L729" s="1">
        <v>8.39</v>
      </c>
    </row>
    <row r="730" spans="1:12" ht="15.6" x14ac:dyDescent="0.3">
      <c r="A730" s="1" t="s">
        <v>766</v>
      </c>
      <c r="B730" s="1">
        <v>29</v>
      </c>
      <c r="C730" s="1" t="s">
        <v>29</v>
      </c>
      <c r="D730" s="1" t="s">
        <v>30</v>
      </c>
      <c r="E730" s="1" t="s">
        <v>40</v>
      </c>
      <c r="F730" s="1">
        <v>202</v>
      </c>
      <c r="G730" s="1">
        <v>129</v>
      </c>
      <c r="H730" s="1" t="s">
        <v>32</v>
      </c>
      <c r="I730" s="1" t="s">
        <v>16</v>
      </c>
      <c r="J730" s="1" t="s">
        <v>38</v>
      </c>
      <c r="K730" s="1">
        <v>86.41</v>
      </c>
      <c r="L730" s="1">
        <v>19.45</v>
      </c>
    </row>
    <row r="731" spans="1:12" ht="15.6" x14ac:dyDescent="0.3">
      <c r="A731" s="1" t="s">
        <v>767</v>
      </c>
      <c r="B731" s="1">
        <v>39</v>
      </c>
      <c r="C731" s="1" t="s">
        <v>26</v>
      </c>
      <c r="D731" s="1" t="s">
        <v>27</v>
      </c>
      <c r="E731" s="1" t="s">
        <v>45</v>
      </c>
      <c r="F731" s="1">
        <v>387</v>
      </c>
      <c r="G731" s="1">
        <v>498</v>
      </c>
      <c r="H731" s="1" t="s">
        <v>48</v>
      </c>
      <c r="I731" s="1" t="s">
        <v>16</v>
      </c>
      <c r="J731" s="1" t="s">
        <v>17</v>
      </c>
      <c r="K731" s="1">
        <v>23.1</v>
      </c>
      <c r="L731" s="1">
        <v>31.35</v>
      </c>
    </row>
    <row r="732" spans="1:12" ht="15.6" x14ac:dyDescent="0.3">
      <c r="A732" s="1" t="s">
        <v>768</v>
      </c>
      <c r="B732" s="1">
        <v>26</v>
      </c>
      <c r="C732" s="1" t="s">
        <v>34</v>
      </c>
      <c r="D732" s="1" t="s">
        <v>50</v>
      </c>
      <c r="E732" s="1" t="s">
        <v>2</v>
      </c>
      <c r="F732" s="1">
        <v>359</v>
      </c>
      <c r="G732" s="1">
        <v>93</v>
      </c>
      <c r="H732" s="1" t="s">
        <v>22</v>
      </c>
      <c r="I732" s="1" t="s">
        <v>23</v>
      </c>
      <c r="J732" s="1" t="s">
        <v>17</v>
      </c>
      <c r="K732" s="1">
        <v>55.97</v>
      </c>
      <c r="L732" s="1">
        <v>57.62</v>
      </c>
    </row>
    <row r="733" spans="1:12" ht="15.6" x14ac:dyDescent="0.3">
      <c r="A733" s="1" t="s">
        <v>769</v>
      </c>
      <c r="B733" s="1">
        <v>43</v>
      </c>
      <c r="C733" s="1" t="s">
        <v>34</v>
      </c>
      <c r="D733" s="1" t="s">
        <v>14</v>
      </c>
      <c r="E733" s="1" t="s">
        <v>21</v>
      </c>
      <c r="F733" s="1">
        <v>304</v>
      </c>
      <c r="G733" s="1">
        <v>170</v>
      </c>
      <c r="H733" s="1" t="s">
        <v>48</v>
      </c>
      <c r="I733" s="1" t="s">
        <v>16</v>
      </c>
      <c r="J733" s="1" t="s">
        <v>38</v>
      </c>
      <c r="K733" s="1">
        <v>47.8</v>
      </c>
      <c r="L733" s="1">
        <v>79.099999999999994</v>
      </c>
    </row>
    <row r="734" spans="1:12" ht="15.6" x14ac:dyDescent="0.3">
      <c r="A734" s="1" t="s">
        <v>770</v>
      </c>
      <c r="B734" s="1">
        <v>41</v>
      </c>
      <c r="C734" s="1" t="s">
        <v>34</v>
      </c>
      <c r="D734" s="1" t="s">
        <v>20</v>
      </c>
      <c r="E734" s="1" t="s">
        <v>21</v>
      </c>
      <c r="F734" s="1">
        <v>84</v>
      </c>
      <c r="G734" s="1">
        <v>255</v>
      </c>
      <c r="H734" s="1" t="s">
        <v>48</v>
      </c>
      <c r="I734" s="1" t="s">
        <v>23</v>
      </c>
      <c r="J734" s="1" t="s">
        <v>38</v>
      </c>
      <c r="K734" s="1">
        <v>32.1</v>
      </c>
      <c r="L734" s="1">
        <v>74.95</v>
      </c>
    </row>
    <row r="735" spans="1:12" ht="15.6" x14ac:dyDescent="0.3">
      <c r="A735" s="1" t="s">
        <v>771</v>
      </c>
      <c r="B735" s="1">
        <v>50</v>
      </c>
      <c r="C735" s="1" t="s">
        <v>19</v>
      </c>
      <c r="D735" s="1" t="s">
        <v>14</v>
      </c>
      <c r="E735" s="1" t="s">
        <v>36</v>
      </c>
      <c r="F735" s="1">
        <v>57</v>
      </c>
      <c r="G735" s="1">
        <v>209</v>
      </c>
      <c r="H735" s="1" t="s">
        <v>22</v>
      </c>
      <c r="I735" s="1" t="s">
        <v>23</v>
      </c>
      <c r="J735" s="1" t="s">
        <v>38</v>
      </c>
      <c r="K735" s="1">
        <v>51.28</v>
      </c>
      <c r="L735" s="1">
        <v>78.040000000000006</v>
      </c>
    </row>
    <row r="736" spans="1:12" ht="15.6" x14ac:dyDescent="0.3">
      <c r="A736" s="1" t="s">
        <v>772</v>
      </c>
      <c r="B736" s="1">
        <v>21</v>
      </c>
      <c r="C736" s="1" t="s">
        <v>29</v>
      </c>
      <c r="D736" s="1" t="s">
        <v>35</v>
      </c>
      <c r="E736" s="1" t="s">
        <v>36</v>
      </c>
      <c r="F736" s="1">
        <v>287</v>
      </c>
      <c r="G736" s="1">
        <v>238</v>
      </c>
      <c r="H736" s="1" t="s">
        <v>48</v>
      </c>
      <c r="I736" s="1" t="s">
        <v>16</v>
      </c>
      <c r="J736" s="1" t="s">
        <v>24</v>
      </c>
      <c r="K736" s="1">
        <v>34.72</v>
      </c>
      <c r="L736" s="1">
        <v>70.31</v>
      </c>
    </row>
    <row r="737" spans="1:12" ht="15.6" x14ac:dyDescent="0.3">
      <c r="A737" s="1" t="s">
        <v>773</v>
      </c>
      <c r="B737" s="1">
        <v>31</v>
      </c>
      <c r="C737" s="1" t="s">
        <v>29</v>
      </c>
      <c r="D737" s="1" t="s">
        <v>35</v>
      </c>
      <c r="E737" s="1" t="s">
        <v>36</v>
      </c>
      <c r="F737" s="1">
        <v>340</v>
      </c>
      <c r="G737" s="1">
        <v>310</v>
      </c>
      <c r="H737" s="1" t="s">
        <v>22</v>
      </c>
      <c r="I737" s="1" t="s">
        <v>16</v>
      </c>
      <c r="J737" s="1" t="s">
        <v>24</v>
      </c>
      <c r="K737" s="1">
        <v>35.28</v>
      </c>
      <c r="L737" s="1">
        <v>56.68</v>
      </c>
    </row>
    <row r="738" spans="1:12" ht="15.6" x14ac:dyDescent="0.3">
      <c r="A738" s="1" t="s">
        <v>774</v>
      </c>
      <c r="B738" s="1">
        <v>32</v>
      </c>
      <c r="C738" s="1" t="s">
        <v>13</v>
      </c>
      <c r="D738" s="1" t="s">
        <v>14</v>
      </c>
      <c r="E738" s="1" t="s">
        <v>21</v>
      </c>
      <c r="F738" s="1">
        <v>178</v>
      </c>
      <c r="G738" s="1">
        <v>343</v>
      </c>
      <c r="H738" s="1" t="s">
        <v>32</v>
      </c>
      <c r="I738" s="1" t="s">
        <v>16</v>
      </c>
      <c r="J738" s="1" t="s">
        <v>17</v>
      </c>
      <c r="K738" s="1">
        <v>27.11</v>
      </c>
      <c r="L738" s="1">
        <v>28.39</v>
      </c>
    </row>
    <row r="739" spans="1:12" ht="15.6" x14ac:dyDescent="0.3">
      <c r="A739" s="1" t="s">
        <v>775</v>
      </c>
      <c r="B739" s="1">
        <v>55</v>
      </c>
      <c r="C739" s="1" t="s">
        <v>34</v>
      </c>
      <c r="D739" s="1" t="s">
        <v>14</v>
      </c>
      <c r="E739" s="1" t="s">
        <v>40</v>
      </c>
      <c r="F739" s="1">
        <v>405</v>
      </c>
      <c r="G739" s="1">
        <v>269</v>
      </c>
      <c r="H739" s="1" t="s">
        <v>22</v>
      </c>
      <c r="I739" s="1" t="s">
        <v>16</v>
      </c>
      <c r="J739" s="1" t="s">
        <v>38</v>
      </c>
      <c r="K739" s="1">
        <v>37.01</v>
      </c>
      <c r="L739" s="1">
        <v>6.71</v>
      </c>
    </row>
    <row r="740" spans="1:12" ht="15.6" x14ac:dyDescent="0.3">
      <c r="A740" s="1" t="s">
        <v>776</v>
      </c>
      <c r="B740" s="1">
        <v>54</v>
      </c>
      <c r="C740" s="1" t="s">
        <v>34</v>
      </c>
      <c r="D740" s="1" t="s">
        <v>30</v>
      </c>
      <c r="E740" s="1" t="s">
        <v>21</v>
      </c>
      <c r="F740" s="1">
        <v>543</v>
      </c>
      <c r="G740" s="1">
        <v>291</v>
      </c>
      <c r="H740" s="1" t="s">
        <v>22</v>
      </c>
      <c r="I740" s="1" t="s">
        <v>23</v>
      </c>
      <c r="J740" s="1" t="s">
        <v>24</v>
      </c>
      <c r="K740" s="1">
        <v>72.709999999999994</v>
      </c>
      <c r="L740" s="1">
        <v>35.81</v>
      </c>
    </row>
    <row r="741" spans="1:12" ht="15.6" x14ac:dyDescent="0.3">
      <c r="A741" s="1" t="s">
        <v>777</v>
      </c>
      <c r="B741" s="1">
        <v>18</v>
      </c>
      <c r="C741" s="1" t="s">
        <v>19</v>
      </c>
      <c r="D741" s="1" t="s">
        <v>30</v>
      </c>
      <c r="E741" s="1" t="s">
        <v>31</v>
      </c>
      <c r="F741" s="1">
        <v>121</v>
      </c>
      <c r="G741" s="1">
        <v>414</v>
      </c>
      <c r="H741" s="1" t="s">
        <v>22</v>
      </c>
      <c r="I741" s="1" t="s">
        <v>23</v>
      </c>
      <c r="J741" s="1" t="s">
        <v>38</v>
      </c>
      <c r="K741" s="1">
        <v>81.790000000000006</v>
      </c>
      <c r="L741" s="1">
        <v>52.51</v>
      </c>
    </row>
    <row r="742" spans="1:12" ht="15.6" x14ac:dyDescent="0.3">
      <c r="A742" s="1" t="s">
        <v>778</v>
      </c>
      <c r="B742" s="1">
        <v>36</v>
      </c>
      <c r="C742" s="1" t="s">
        <v>26</v>
      </c>
      <c r="D742" s="1" t="s">
        <v>30</v>
      </c>
      <c r="E742" s="1" t="s">
        <v>31</v>
      </c>
      <c r="F742" s="1">
        <v>537</v>
      </c>
      <c r="G742" s="1">
        <v>292</v>
      </c>
      <c r="H742" s="1" t="s">
        <v>15</v>
      </c>
      <c r="I742" s="1" t="s">
        <v>16</v>
      </c>
      <c r="J742" s="1" t="s">
        <v>17</v>
      </c>
      <c r="K742" s="1">
        <v>86.17</v>
      </c>
      <c r="L742" s="1">
        <v>35.56</v>
      </c>
    </row>
    <row r="743" spans="1:12" ht="15.6" x14ac:dyDescent="0.3">
      <c r="A743" s="1" t="s">
        <v>779</v>
      </c>
      <c r="B743" s="1">
        <v>47</v>
      </c>
      <c r="C743" s="1" t="s">
        <v>13</v>
      </c>
      <c r="D743" s="1" t="s">
        <v>14</v>
      </c>
      <c r="E743" s="1" t="s">
        <v>40</v>
      </c>
      <c r="F743" s="1">
        <v>246</v>
      </c>
      <c r="G743" s="1">
        <v>12</v>
      </c>
      <c r="H743" s="1" t="s">
        <v>22</v>
      </c>
      <c r="I743" s="1" t="s">
        <v>16</v>
      </c>
      <c r="J743" s="1" t="s">
        <v>17</v>
      </c>
      <c r="K743" s="1">
        <v>50.19</v>
      </c>
      <c r="L743" s="1">
        <v>32.36</v>
      </c>
    </row>
    <row r="744" spans="1:12" ht="15.6" x14ac:dyDescent="0.3">
      <c r="A744" s="1" t="s">
        <v>780</v>
      </c>
      <c r="B744" s="1">
        <v>32</v>
      </c>
      <c r="C744" s="1" t="s">
        <v>26</v>
      </c>
      <c r="D744" s="1" t="s">
        <v>20</v>
      </c>
      <c r="E744" s="1" t="s">
        <v>36</v>
      </c>
      <c r="F744" s="1">
        <v>11</v>
      </c>
      <c r="G744" s="1">
        <v>302</v>
      </c>
      <c r="H744" s="1" t="s">
        <v>22</v>
      </c>
      <c r="I744" s="1" t="s">
        <v>23</v>
      </c>
      <c r="J744" s="1" t="s">
        <v>38</v>
      </c>
      <c r="K744" s="1">
        <v>77.489999999999995</v>
      </c>
      <c r="L744" s="1">
        <v>74.72</v>
      </c>
    </row>
    <row r="745" spans="1:12" ht="15.6" x14ac:dyDescent="0.3">
      <c r="A745" s="1" t="s">
        <v>781</v>
      </c>
      <c r="B745" s="1">
        <v>39</v>
      </c>
      <c r="C745" s="1" t="s">
        <v>26</v>
      </c>
      <c r="D745" s="1" t="s">
        <v>27</v>
      </c>
      <c r="E745" s="1" t="s">
        <v>21</v>
      </c>
      <c r="F745" s="1">
        <v>372</v>
      </c>
      <c r="G745" s="1">
        <v>356</v>
      </c>
      <c r="H745" s="1" t="s">
        <v>48</v>
      </c>
      <c r="I745" s="1" t="s">
        <v>23</v>
      </c>
      <c r="J745" s="1" t="s">
        <v>24</v>
      </c>
      <c r="K745" s="1">
        <v>19.649999999999999</v>
      </c>
      <c r="L745" s="1">
        <v>32.979999999999997</v>
      </c>
    </row>
    <row r="746" spans="1:12" ht="15.6" x14ac:dyDescent="0.3">
      <c r="A746" s="1" t="s">
        <v>782</v>
      </c>
      <c r="B746" s="1">
        <v>29</v>
      </c>
      <c r="C746" s="1" t="s">
        <v>26</v>
      </c>
      <c r="D746" s="1" t="s">
        <v>20</v>
      </c>
      <c r="E746" s="1" t="s">
        <v>2</v>
      </c>
      <c r="F746" s="1">
        <v>135</v>
      </c>
      <c r="G746" s="1">
        <v>137</v>
      </c>
      <c r="H746" s="1" t="s">
        <v>37</v>
      </c>
      <c r="I746" s="1" t="s">
        <v>23</v>
      </c>
      <c r="J746" s="1" t="s">
        <v>38</v>
      </c>
      <c r="K746" s="1">
        <v>16.579999999999998</v>
      </c>
      <c r="L746" s="1">
        <v>37.9</v>
      </c>
    </row>
    <row r="747" spans="1:12" ht="15.6" x14ac:dyDescent="0.3">
      <c r="A747" s="1" t="s">
        <v>783</v>
      </c>
      <c r="B747" s="1">
        <v>38</v>
      </c>
      <c r="C747" s="1" t="s">
        <v>19</v>
      </c>
      <c r="D747" s="1" t="s">
        <v>30</v>
      </c>
      <c r="E747" s="1" t="s">
        <v>40</v>
      </c>
      <c r="F747" s="1">
        <v>564</v>
      </c>
      <c r="G747" s="1">
        <v>294</v>
      </c>
      <c r="H747" s="1" t="s">
        <v>15</v>
      </c>
      <c r="I747" s="1" t="s">
        <v>16</v>
      </c>
      <c r="J747" s="1" t="s">
        <v>17</v>
      </c>
      <c r="K747" s="1">
        <v>84.18</v>
      </c>
      <c r="L747" s="1">
        <v>61.24</v>
      </c>
    </row>
    <row r="748" spans="1:12" ht="15.6" x14ac:dyDescent="0.3">
      <c r="A748" s="1" t="s">
        <v>784</v>
      </c>
      <c r="B748" s="1">
        <v>32</v>
      </c>
      <c r="C748" s="1" t="s">
        <v>34</v>
      </c>
      <c r="D748" s="1" t="s">
        <v>35</v>
      </c>
      <c r="E748" s="1" t="s">
        <v>40</v>
      </c>
      <c r="F748" s="1">
        <v>265</v>
      </c>
      <c r="G748" s="1">
        <v>17</v>
      </c>
      <c r="H748" s="1" t="s">
        <v>48</v>
      </c>
      <c r="I748" s="1" t="s">
        <v>16</v>
      </c>
      <c r="J748" s="1" t="s">
        <v>17</v>
      </c>
      <c r="K748" s="1">
        <v>10.55</v>
      </c>
      <c r="L748" s="1">
        <v>74.069999999999993</v>
      </c>
    </row>
    <row r="749" spans="1:12" ht="15.6" x14ac:dyDescent="0.3">
      <c r="A749" s="1" t="s">
        <v>785</v>
      </c>
      <c r="B749" s="1">
        <v>28</v>
      </c>
      <c r="C749" s="1" t="s">
        <v>34</v>
      </c>
      <c r="D749" s="1" t="s">
        <v>35</v>
      </c>
      <c r="E749" s="1" t="s">
        <v>2</v>
      </c>
      <c r="F749" s="1">
        <v>62</v>
      </c>
      <c r="G749" s="1">
        <v>420</v>
      </c>
      <c r="H749" s="1" t="s">
        <v>37</v>
      </c>
      <c r="I749" s="1" t="s">
        <v>23</v>
      </c>
      <c r="J749" s="1" t="s">
        <v>38</v>
      </c>
      <c r="K749" s="1">
        <v>50.18</v>
      </c>
      <c r="L749" s="1">
        <v>31.94</v>
      </c>
    </row>
    <row r="750" spans="1:12" ht="15.6" x14ac:dyDescent="0.3">
      <c r="A750" s="1" t="s">
        <v>786</v>
      </c>
      <c r="B750" s="1">
        <v>16</v>
      </c>
      <c r="C750" s="1" t="s">
        <v>34</v>
      </c>
      <c r="D750" s="1" t="s">
        <v>27</v>
      </c>
      <c r="E750" s="1" t="s">
        <v>36</v>
      </c>
      <c r="F750" s="1">
        <v>212</v>
      </c>
      <c r="G750" s="1">
        <v>425</v>
      </c>
      <c r="H750" s="1" t="s">
        <v>32</v>
      </c>
      <c r="I750" s="1" t="s">
        <v>16</v>
      </c>
      <c r="J750" s="1" t="s">
        <v>38</v>
      </c>
      <c r="K750" s="1">
        <v>60.61</v>
      </c>
      <c r="L750" s="1">
        <v>32.01</v>
      </c>
    </row>
    <row r="751" spans="1:12" ht="15.6" x14ac:dyDescent="0.3">
      <c r="A751" s="1" t="s">
        <v>787</v>
      </c>
      <c r="B751" s="1">
        <v>52</v>
      </c>
      <c r="C751" s="1" t="s">
        <v>13</v>
      </c>
      <c r="D751" s="1" t="s">
        <v>20</v>
      </c>
      <c r="E751" s="1" t="s">
        <v>45</v>
      </c>
      <c r="F751" s="1">
        <v>153</v>
      </c>
      <c r="G751" s="1">
        <v>285</v>
      </c>
      <c r="H751" s="1" t="s">
        <v>22</v>
      </c>
      <c r="I751" s="1" t="s">
        <v>23</v>
      </c>
      <c r="J751" s="1" t="s">
        <v>17</v>
      </c>
      <c r="K751" s="1">
        <v>44.92</v>
      </c>
      <c r="L751" s="1">
        <v>9.51</v>
      </c>
    </row>
    <row r="752" spans="1:12" ht="15.6" x14ac:dyDescent="0.3">
      <c r="A752" s="1" t="s">
        <v>788</v>
      </c>
      <c r="B752" s="1">
        <v>56</v>
      </c>
      <c r="C752" s="1" t="s">
        <v>29</v>
      </c>
      <c r="D752" s="1" t="s">
        <v>30</v>
      </c>
      <c r="E752" s="1" t="s">
        <v>40</v>
      </c>
      <c r="F752" s="1">
        <v>518</v>
      </c>
      <c r="G752" s="1">
        <v>183</v>
      </c>
      <c r="H752" s="1" t="s">
        <v>22</v>
      </c>
      <c r="I752" s="1" t="s">
        <v>16</v>
      </c>
      <c r="J752" s="1" t="s">
        <v>24</v>
      </c>
      <c r="K752" s="1">
        <v>33.35</v>
      </c>
      <c r="L752" s="1">
        <v>26.51</v>
      </c>
    </row>
    <row r="753" spans="1:12" ht="15.6" x14ac:dyDescent="0.3">
      <c r="A753" s="1" t="s">
        <v>789</v>
      </c>
      <c r="B753" s="1">
        <v>13</v>
      </c>
      <c r="C753" s="1" t="s">
        <v>26</v>
      </c>
      <c r="D753" s="1" t="s">
        <v>27</v>
      </c>
      <c r="E753" s="1" t="s">
        <v>40</v>
      </c>
      <c r="F753" s="1">
        <v>72</v>
      </c>
      <c r="G753" s="1">
        <v>38</v>
      </c>
      <c r="H753" s="1" t="s">
        <v>15</v>
      </c>
      <c r="I753" s="1" t="s">
        <v>23</v>
      </c>
      <c r="J753" s="1" t="s">
        <v>17</v>
      </c>
      <c r="K753" s="1">
        <v>24.22</v>
      </c>
      <c r="L753" s="1">
        <v>78.510000000000005</v>
      </c>
    </row>
    <row r="754" spans="1:12" ht="15.6" x14ac:dyDescent="0.3">
      <c r="A754" s="1" t="s">
        <v>790</v>
      </c>
      <c r="B754" s="1">
        <v>45</v>
      </c>
      <c r="C754" s="1" t="s">
        <v>13</v>
      </c>
      <c r="D754" s="1" t="s">
        <v>14</v>
      </c>
      <c r="E754" s="1" t="s">
        <v>45</v>
      </c>
      <c r="F754" s="1">
        <v>282</v>
      </c>
      <c r="G754" s="1">
        <v>110</v>
      </c>
      <c r="H754" s="1" t="s">
        <v>37</v>
      </c>
      <c r="I754" s="1" t="s">
        <v>16</v>
      </c>
      <c r="J754" s="1" t="s">
        <v>17</v>
      </c>
      <c r="K754" s="1">
        <v>86.2</v>
      </c>
      <c r="L754" s="1">
        <v>9.66</v>
      </c>
    </row>
    <row r="755" spans="1:12" ht="15.6" x14ac:dyDescent="0.3">
      <c r="A755" s="1" t="s">
        <v>791</v>
      </c>
      <c r="B755" s="1">
        <v>39</v>
      </c>
      <c r="C755" s="1" t="s">
        <v>29</v>
      </c>
      <c r="D755" s="1" t="s">
        <v>35</v>
      </c>
      <c r="E755" s="1" t="s">
        <v>21</v>
      </c>
      <c r="F755" s="1">
        <v>45</v>
      </c>
      <c r="G755" s="1">
        <v>374</v>
      </c>
      <c r="H755" s="1" t="s">
        <v>32</v>
      </c>
      <c r="I755" s="1" t="s">
        <v>23</v>
      </c>
      <c r="J755" s="1" t="s">
        <v>24</v>
      </c>
      <c r="K755" s="1">
        <v>58.88</v>
      </c>
      <c r="L755" s="1">
        <v>39.340000000000003</v>
      </c>
    </row>
    <row r="756" spans="1:12" ht="15.6" x14ac:dyDescent="0.3">
      <c r="A756" s="1" t="s">
        <v>792</v>
      </c>
      <c r="B756" s="1">
        <v>54</v>
      </c>
      <c r="C756" s="1" t="s">
        <v>34</v>
      </c>
      <c r="D756" s="1" t="s">
        <v>27</v>
      </c>
      <c r="E756" s="1" t="s">
        <v>21</v>
      </c>
      <c r="F756" s="1">
        <v>352</v>
      </c>
      <c r="G756" s="1">
        <v>17</v>
      </c>
      <c r="H756" s="1" t="s">
        <v>15</v>
      </c>
      <c r="I756" s="1" t="s">
        <v>16</v>
      </c>
      <c r="J756" s="1" t="s">
        <v>24</v>
      </c>
      <c r="K756" s="1">
        <v>29.51</v>
      </c>
      <c r="L756" s="1">
        <v>34.17</v>
      </c>
    </row>
    <row r="757" spans="1:12" ht="15.6" x14ac:dyDescent="0.3">
      <c r="A757" s="1" t="s">
        <v>793</v>
      </c>
      <c r="B757" s="1">
        <v>36</v>
      </c>
      <c r="C757" s="1" t="s">
        <v>26</v>
      </c>
      <c r="D757" s="1" t="s">
        <v>30</v>
      </c>
      <c r="E757" s="1" t="s">
        <v>36</v>
      </c>
      <c r="F757" s="1">
        <v>83</v>
      </c>
      <c r="G757" s="1">
        <v>59</v>
      </c>
      <c r="H757" s="1" t="s">
        <v>48</v>
      </c>
      <c r="I757" s="1" t="s">
        <v>16</v>
      </c>
      <c r="J757" s="1" t="s">
        <v>38</v>
      </c>
      <c r="K757" s="1">
        <v>89.15</v>
      </c>
      <c r="L757" s="1">
        <v>8.35</v>
      </c>
    </row>
    <row r="758" spans="1:12" ht="15.6" x14ac:dyDescent="0.3">
      <c r="A758" s="1" t="s">
        <v>794</v>
      </c>
      <c r="B758" s="1">
        <v>24</v>
      </c>
      <c r="C758" s="1" t="s">
        <v>19</v>
      </c>
      <c r="D758" s="1" t="s">
        <v>35</v>
      </c>
      <c r="E758" s="1" t="s">
        <v>40</v>
      </c>
      <c r="F758" s="1">
        <v>305</v>
      </c>
      <c r="G758" s="1">
        <v>447</v>
      </c>
      <c r="H758" s="1" t="s">
        <v>37</v>
      </c>
      <c r="I758" s="1" t="s">
        <v>23</v>
      </c>
      <c r="J758" s="1" t="s">
        <v>17</v>
      </c>
      <c r="K758" s="1">
        <v>67.94</v>
      </c>
      <c r="L758" s="1">
        <v>64.349999999999994</v>
      </c>
    </row>
    <row r="759" spans="1:12" ht="15.6" x14ac:dyDescent="0.3">
      <c r="A759" s="1" t="s">
        <v>795</v>
      </c>
      <c r="B759" s="1">
        <v>45</v>
      </c>
      <c r="C759" s="1" t="s">
        <v>34</v>
      </c>
      <c r="D759" s="1" t="s">
        <v>14</v>
      </c>
      <c r="E759" s="1" t="s">
        <v>31</v>
      </c>
      <c r="F759" s="1">
        <v>300</v>
      </c>
      <c r="G759" s="1">
        <v>335</v>
      </c>
      <c r="H759" s="1" t="s">
        <v>15</v>
      </c>
      <c r="I759" s="1" t="s">
        <v>23</v>
      </c>
      <c r="J759" s="1" t="s">
        <v>38</v>
      </c>
      <c r="K759" s="1">
        <v>38.78</v>
      </c>
      <c r="L759" s="1">
        <v>52.29</v>
      </c>
    </row>
    <row r="760" spans="1:12" ht="15.6" x14ac:dyDescent="0.3">
      <c r="A760" s="1" t="s">
        <v>796</v>
      </c>
      <c r="B760" s="1">
        <v>51</v>
      </c>
      <c r="C760" s="1" t="s">
        <v>13</v>
      </c>
      <c r="D760" s="1" t="s">
        <v>20</v>
      </c>
      <c r="E760" s="1" t="s">
        <v>36</v>
      </c>
      <c r="F760" s="1">
        <v>477</v>
      </c>
      <c r="G760" s="1">
        <v>8</v>
      </c>
      <c r="H760" s="1" t="s">
        <v>32</v>
      </c>
      <c r="I760" s="1" t="s">
        <v>16</v>
      </c>
      <c r="J760" s="1" t="s">
        <v>38</v>
      </c>
      <c r="K760" s="1">
        <v>26.92</v>
      </c>
      <c r="L760" s="1">
        <v>48.56</v>
      </c>
    </row>
    <row r="761" spans="1:12" ht="15.6" x14ac:dyDescent="0.3">
      <c r="A761" s="1" t="s">
        <v>797</v>
      </c>
      <c r="B761" s="1">
        <v>24</v>
      </c>
      <c r="C761" s="1" t="s">
        <v>13</v>
      </c>
      <c r="D761" s="1" t="s">
        <v>27</v>
      </c>
      <c r="E761" s="1" t="s">
        <v>31</v>
      </c>
      <c r="F761" s="1">
        <v>579</v>
      </c>
      <c r="G761" s="1">
        <v>346</v>
      </c>
      <c r="H761" s="1" t="s">
        <v>32</v>
      </c>
      <c r="I761" s="1" t="s">
        <v>16</v>
      </c>
      <c r="J761" s="1" t="s">
        <v>38</v>
      </c>
      <c r="K761" s="1">
        <v>35.43</v>
      </c>
      <c r="L761" s="1">
        <v>41.2</v>
      </c>
    </row>
    <row r="762" spans="1:12" ht="15.6" x14ac:dyDescent="0.3">
      <c r="A762" s="1" t="s">
        <v>798</v>
      </c>
      <c r="B762" s="1">
        <v>56</v>
      </c>
      <c r="C762" s="1" t="s">
        <v>26</v>
      </c>
      <c r="D762" s="1" t="s">
        <v>27</v>
      </c>
      <c r="E762" s="1" t="s">
        <v>40</v>
      </c>
      <c r="F762" s="1">
        <v>262</v>
      </c>
      <c r="G762" s="1">
        <v>366</v>
      </c>
      <c r="H762" s="1" t="s">
        <v>22</v>
      </c>
      <c r="I762" s="1" t="s">
        <v>23</v>
      </c>
      <c r="J762" s="1" t="s">
        <v>24</v>
      </c>
      <c r="K762" s="1">
        <v>69.53</v>
      </c>
      <c r="L762" s="1">
        <v>5.34</v>
      </c>
    </row>
    <row r="763" spans="1:12" ht="15.6" x14ac:dyDescent="0.3">
      <c r="A763" s="1" t="s">
        <v>799</v>
      </c>
      <c r="B763" s="1">
        <v>38</v>
      </c>
      <c r="C763" s="1" t="s">
        <v>13</v>
      </c>
      <c r="D763" s="1" t="s">
        <v>20</v>
      </c>
      <c r="E763" s="1" t="s">
        <v>31</v>
      </c>
      <c r="F763" s="1">
        <v>225</v>
      </c>
      <c r="G763" s="1">
        <v>218</v>
      </c>
      <c r="H763" s="1" t="s">
        <v>37</v>
      </c>
      <c r="I763" s="1" t="s">
        <v>23</v>
      </c>
      <c r="J763" s="1" t="s">
        <v>17</v>
      </c>
      <c r="K763" s="1">
        <v>17.079999999999998</v>
      </c>
      <c r="L763" s="1">
        <v>58.23</v>
      </c>
    </row>
  </sheetData>
  <conditionalFormatting sqref="A2:A763">
    <cfRule type="duplicateValues" dxfId="3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4E745-B2A2-4C24-9C7D-E19F239A233B}">
  <dimension ref="A1:D1"/>
  <sheetViews>
    <sheetView workbookViewId="0">
      <selection activeCell="A3" sqref="A3"/>
    </sheetView>
  </sheetViews>
  <sheetFormatPr defaultRowHeight="14.4" x14ac:dyDescent="0.3"/>
  <cols>
    <col min="1" max="1" width="13.5546875" customWidth="1"/>
  </cols>
  <sheetData>
    <row r="1" spans="1:4" x14ac:dyDescent="0.3">
      <c r="A1" t="s">
        <v>835</v>
      </c>
      <c r="C1">
        <f>CORREL('CLEANED DATA'!K2:K763,'CLEANED DATA'!L2:L763)</f>
        <v>-6.4315020571301729E-2</v>
      </c>
      <c r="D1" t="s">
        <v>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A4F0-869B-4979-8D54-152C9DFB133B}">
  <dimension ref="A1:B9"/>
  <sheetViews>
    <sheetView workbookViewId="0">
      <selection activeCell="B18" sqref="B18"/>
    </sheetView>
  </sheetViews>
  <sheetFormatPr defaultRowHeight="14.4" x14ac:dyDescent="0.3"/>
  <cols>
    <col min="1" max="1" width="11.5546875" bestFit="1" customWidth="1"/>
    <col min="2" max="2" width="29" bestFit="1" customWidth="1"/>
  </cols>
  <sheetData>
    <row r="1" spans="1:2" x14ac:dyDescent="0.3">
      <c r="B1" t="s">
        <v>843</v>
      </c>
    </row>
    <row r="3" spans="1:2" x14ac:dyDescent="0.3">
      <c r="A3" s="11" t="s">
        <v>1</v>
      </c>
      <c r="B3" s="10" t="s">
        <v>842</v>
      </c>
    </row>
    <row r="4" spans="1:2" x14ac:dyDescent="0.3">
      <c r="A4" s="12" t="s">
        <v>837</v>
      </c>
      <c r="B4" s="13">
        <v>264.12592592592591</v>
      </c>
    </row>
    <row r="5" spans="1:2" x14ac:dyDescent="0.3">
      <c r="A5" s="12" t="s">
        <v>838</v>
      </c>
      <c r="B5" s="13">
        <v>263.38787878787878</v>
      </c>
    </row>
    <row r="6" spans="1:2" x14ac:dyDescent="0.3">
      <c r="A6" s="12" t="s">
        <v>839</v>
      </c>
      <c r="B6" s="13">
        <v>259.81132075471697</v>
      </c>
    </row>
    <row r="7" spans="1:2" x14ac:dyDescent="0.3">
      <c r="A7" s="12" t="s">
        <v>840</v>
      </c>
      <c r="B7" s="13">
        <v>233.71508379888269</v>
      </c>
    </row>
    <row r="8" spans="1:2" x14ac:dyDescent="0.3">
      <c r="A8" s="12" t="s">
        <v>841</v>
      </c>
      <c r="B8" s="13">
        <v>249.95161290322579</v>
      </c>
    </row>
    <row r="9" spans="1:2" x14ac:dyDescent="0.3">
      <c r="A9" s="12" t="s">
        <v>800</v>
      </c>
      <c r="B9" s="13">
        <v>253.61548556430446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DD89-C9EA-4378-B265-EA28A3650C23}">
  <dimension ref="A1:E7"/>
  <sheetViews>
    <sheetView workbookViewId="0">
      <selection activeCell="AA4" sqref="AA4"/>
    </sheetView>
  </sheetViews>
  <sheetFormatPr defaultRowHeight="14.4" x14ac:dyDescent="0.3"/>
  <cols>
    <col min="1" max="1" width="10.5546875" bestFit="1" customWidth="1"/>
    <col min="2" max="2" width="48.109375" customWidth="1"/>
    <col min="3" max="3" width="42.88671875" bestFit="1" customWidth="1"/>
    <col min="4" max="4" width="11.6640625" bestFit="1" customWidth="1"/>
    <col min="5" max="5" width="26.21875" bestFit="1" customWidth="1"/>
    <col min="6" max="6" width="23.33203125" bestFit="1" customWidth="1"/>
    <col min="7" max="7" width="5.109375" bestFit="1" customWidth="1"/>
    <col min="8" max="8" width="10.5546875" bestFit="1" customWidth="1"/>
  </cols>
  <sheetData>
    <row r="1" spans="1:5" ht="15.6" x14ac:dyDescent="0.3">
      <c r="A1">
        <v>1</v>
      </c>
      <c r="B1" s="3" t="s">
        <v>831</v>
      </c>
      <c r="D1" s="15" t="s">
        <v>802</v>
      </c>
      <c r="E1" s="1" t="s">
        <v>801</v>
      </c>
    </row>
    <row r="2" spans="1:5" ht="15.6" x14ac:dyDescent="0.3">
      <c r="D2" s="16" t="s">
        <v>48</v>
      </c>
      <c r="E2" s="18">
        <v>0.21522309711286089</v>
      </c>
    </row>
    <row r="3" spans="1:5" ht="15.6" x14ac:dyDescent="0.3">
      <c r="D3" s="16" t="s">
        <v>15</v>
      </c>
      <c r="E3" s="18">
        <v>0.1889763779527559</v>
      </c>
    </row>
    <row r="4" spans="1:5" ht="15.6" x14ac:dyDescent="0.3">
      <c r="D4" s="16" t="s">
        <v>37</v>
      </c>
      <c r="E4" s="18">
        <v>0.18372703412073491</v>
      </c>
    </row>
    <row r="5" spans="1:5" ht="15.6" x14ac:dyDescent="0.3">
      <c r="D5" s="16" t="s">
        <v>32</v>
      </c>
      <c r="E5" s="18">
        <v>0.20341207349081364</v>
      </c>
    </row>
    <row r="6" spans="1:5" ht="15.6" x14ac:dyDescent="0.3">
      <c r="D6" s="16" t="s">
        <v>22</v>
      </c>
      <c r="E6" s="18">
        <v>0.20866141732283464</v>
      </c>
    </row>
    <row r="7" spans="1:5" ht="15.6" x14ac:dyDescent="0.3">
      <c r="D7" s="16" t="s">
        <v>800</v>
      </c>
      <c r="E7" s="1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ECE1-CF22-4F62-86FA-7B4878F47241}">
  <dimension ref="A1:H14"/>
  <sheetViews>
    <sheetView workbookViewId="0">
      <selection activeCell="H3" sqref="H3"/>
    </sheetView>
  </sheetViews>
  <sheetFormatPr defaultRowHeight="14.4" x14ac:dyDescent="0.3"/>
  <cols>
    <col min="1" max="1" width="37.88671875" bestFit="1" customWidth="1"/>
    <col min="2" max="2" width="16.109375" customWidth="1"/>
    <col min="3" max="3" width="8.6640625" bestFit="1" customWidth="1"/>
    <col min="4" max="5" width="10.5546875" bestFit="1" customWidth="1"/>
    <col min="6" max="6" width="6.88671875" bestFit="1" customWidth="1"/>
    <col min="7" max="7" width="5.109375" bestFit="1" customWidth="1"/>
    <col min="8" max="8" width="57.21875" customWidth="1"/>
  </cols>
  <sheetData>
    <row r="1" spans="1:8" ht="15.6" x14ac:dyDescent="0.3">
      <c r="A1" s="15" t="s">
        <v>808</v>
      </c>
      <c r="B1" s="15" t="s">
        <v>4</v>
      </c>
      <c r="C1" s="1"/>
      <c r="D1" s="1"/>
      <c r="E1" s="1"/>
    </row>
    <row r="2" spans="1:8" ht="15.6" x14ac:dyDescent="0.3">
      <c r="A2" s="15" t="s">
        <v>802</v>
      </c>
      <c r="B2" s="1" t="s">
        <v>24</v>
      </c>
      <c r="C2" s="1" t="s">
        <v>38</v>
      </c>
      <c r="D2" s="1" t="s">
        <v>17</v>
      </c>
      <c r="E2" s="1" t="s">
        <v>800</v>
      </c>
    </row>
    <row r="3" spans="1:8" ht="15.6" x14ac:dyDescent="0.3">
      <c r="A3" s="16" t="s">
        <v>48</v>
      </c>
      <c r="B3" s="17">
        <v>44.631521739130442</v>
      </c>
      <c r="C3" s="17">
        <v>46.253220338983034</v>
      </c>
      <c r="D3" s="17">
        <v>40.792372881355917</v>
      </c>
      <c r="E3" s="17">
        <v>43.83378048780488</v>
      </c>
      <c r="G3" s="19">
        <v>2</v>
      </c>
      <c r="H3" t="s">
        <v>833</v>
      </c>
    </row>
    <row r="4" spans="1:8" ht="15.6" x14ac:dyDescent="0.3">
      <c r="A4" s="16" t="s">
        <v>15</v>
      </c>
      <c r="B4" s="17">
        <v>42.041395348837206</v>
      </c>
      <c r="C4" s="17">
        <v>45.183958333333329</v>
      </c>
      <c r="D4" s="17">
        <v>45.295660377358494</v>
      </c>
      <c r="E4" s="17">
        <v>44.286666666666648</v>
      </c>
    </row>
    <row r="5" spans="1:8" ht="15.6" x14ac:dyDescent="0.3">
      <c r="A5" s="16" t="s">
        <v>37</v>
      </c>
      <c r="B5" s="17">
        <v>41.091951219512211</v>
      </c>
      <c r="C5" s="17">
        <v>44.475531914893608</v>
      </c>
      <c r="D5" s="17">
        <v>41.556730769230775</v>
      </c>
      <c r="E5" s="17">
        <v>42.400500000000008</v>
      </c>
    </row>
    <row r="6" spans="1:8" ht="15.6" x14ac:dyDescent="0.3">
      <c r="A6" s="16" t="s">
        <v>32</v>
      </c>
      <c r="B6" s="17">
        <v>42.617333333333342</v>
      </c>
      <c r="C6" s="17">
        <v>41.190377358490558</v>
      </c>
      <c r="D6" s="17">
        <v>40.265238095238104</v>
      </c>
      <c r="E6" s="17">
        <v>41.492064516129041</v>
      </c>
    </row>
    <row r="7" spans="1:8" ht="15.6" x14ac:dyDescent="0.3">
      <c r="A7" s="16" t="s">
        <v>22</v>
      </c>
      <c r="B7" s="17">
        <v>39.516603773584905</v>
      </c>
      <c r="C7" s="17">
        <v>40.530000000000008</v>
      </c>
      <c r="D7" s="17">
        <v>40.842499999999994</v>
      </c>
      <c r="E7" s="17">
        <v>40.310125786163525</v>
      </c>
    </row>
    <row r="8" spans="1:8" ht="15.6" x14ac:dyDescent="0.3">
      <c r="A8" s="16" t="s">
        <v>800</v>
      </c>
      <c r="B8" s="17">
        <v>41.963045267489711</v>
      </c>
      <c r="C8" s="17">
        <v>43.618932806324089</v>
      </c>
      <c r="D8" s="17">
        <v>41.767142857142879</v>
      </c>
      <c r="E8" s="17">
        <v>42.444448818897634</v>
      </c>
    </row>
    <row r="14" spans="1:8" ht="15.6" x14ac:dyDescent="0.3">
      <c r="A14" s="1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5370-1900-4922-B427-3E599430F42E}">
  <dimension ref="A1:I763"/>
  <sheetViews>
    <sheetView workbookViewId="0">
      <selection activeCell="E1" sqref="E1"/>
    </sheetView>
  </sheetViews>
  <sheetFormatPr defaultRowHeight="14.4" x14ac:dyDescent="0.3"/>
  <cols>
    <col min="1" max="1" width="29.21875" customWidth="1"/>
    <col min="2" max="2" width="18.109375" bestFit="1" customWidth="1"/>
  </cols>
  <sheetData>
    <row r="1" spans="1:9" ht="15.6" x14ac:dyDescent="0.3">
      <c r="A1" s="1" t="s">
        <v>10</v>
      </c>
      <c r="B1" s="1" t="s">
        <v>11</v>
      </c>
      <c r="D1" s="14">
        <v>3</v>
      </c>
      <c r="E1" s="3" t="s">
        <v>832</v>
      </c>
    </row>
    <row r="2" spans="1:9" ht="15.6" x14ac:dyDescent="0.3">
      <c r="A2" s="1">
        <v>11.92</v>
      </c>
      <c r="B2" s="1">
        <v>37.75</v>
      </c>
    </row>
    <row r="3" spans="1:9" ht="15.6" x14ac:dyDescent="0.3">
      <c r="A3" s="1">
        <v>87.77</v>
      </c>
      <c r="B3" s="1">
        <v>8.73</v>
      </c>
      <c r="H3" t="s">
        <v>807</v>
      </c>
      <c r="I3">
        <f>CORREL(A2:A763,B2:B763)</f>
        <v>-6.4315020571301729E-2</v>
      </c>
    </row>
    <row r="4" spans="1:9" ht="15.6" x14ac:dyDescent="0.3">
      <c r="A4" s="1">
        <v>88.44</v>
      </c>
      <c r="B4" s="1">
        <v>75.12</v>
      </c>
    </row>
    <row r="5" spans="1:9" ht="15.6" x14ac:dyDescent="0.3">
      <c r="A5" s="1">
        <v>27.4</v>
      </c>
      <c r="B5" s="1">
        <v>45.91</v>
      </c>
    </row>
    <row r="6" spans="1:9" ht="15.6" x14ac:dyDescent="0.3">
      <c r="A6" s="1">
        <v>85</v>
      </c>
      <c r="B6" s="1">
        <v>53.98</v>
      </c>
    </row>
    <row r="7" spans="1:9" ht="15.6" x14ac:dyDescent="0.3">
      <c r="A7" s="1">
        <v>35.53</v>
      </c>
      <c r="B7" s="1">
        <v>55.35</v>
      </c>
    </row>
    <row r="8" spans="1:9" ht="15.6" x14ac:dyDescent="0.3">
      <c r="A8" s="1">
        <v>32.01</v>
      </c>
      <c r="B8" s="1">
        <v>23.09</v>
      </c>
    </row>
    <row r="9" spans="1:9" ht="15.6" x14ac:dyDescent="0.3">
      <c r="A9" s="1">
        <v>33.21</v>
      </c>
      <c r="B9" s="1">
        <v>18.579999999999998</v>
      </c>
    </row>
    <row r="10" spans="1:9" ht="15.6" x14ac:dyDescent="0.3">
      <c r="A10" s="1">
        <v>24.8</v>
      </c>
      <c r="B10" s="1">
        <v>62.1</v>
      </c>
    </row>
    <row r="11" spans="1:9" ht="15.6" x14ac:dyDescent="0.3">
      <c r="A11" s="1">
        <v>11.74</v>
      </c>
      <c r="B11" s="1">
        <v>46.14</v>
      </c>
    </row>
    <row r="12" spans="1:9" ht="15.6" x14ac:dyDescent="0.3">
      <c r="A12" s="1">
        <v>53.63</v>
      </c>
      <c r="B12" s="1">
        <v>60.28</v>
      </c>
    </row>
    <row r="13" spans="1:9" ht="15.6" x14ac:dyDescent="0.3">
      <c r="A13" s="1">
        <v>25.42</v>
      </c>
      <c r="B13" s="1">
        <v>72.64</v>
      </c>
    </row>
    <row r="14" spans="1:9" ht="15.6" x14ac:dyDescent="0.3">
      <c r="A14" s="1">
        <v>19.66</v>
      </c>
      <c r="B14" s="1">
        <v>20.12</v>
      </c>
    </row>
    <row r="15" spans="1:9" ht="15.6" x14ac:dyDescent="0.3">
      <c r="A15" s="1">
        <v>43.81</v>
      </c>
      <c r="B15" s="1">
        <v>55.65</v>
      </c>
    </row>
    <row r="16" spans="1:9" ht="15.6" x14ac:dyDescent="0.3">
      <c r="A16" s="1">
        <v>58.36</v>
      </c>
      <c r="B16" s="1">
        <v>13.84</v>
      </c>
    </row>
    <row r="17" spans="1:2" ht="15.6" x14ac:dyDescent="0.3">
      <c r="A17" s="1">
        <v>45.38</v>
      </c>
      <c r="B17" s="1">
        <v>55.09</v>
      </c>
    </row>
    <row r="18" spans="1:2" ht="15.6" x14ac:dyDescent="0.3">
      <c r="A18" s="1">
        <v>30.14</v>
      </c>
      <c r="B18" s="1">
        <v>11.02</v>
      </c>
    </row>
    <row r="19" spans="1:2" ht="15.6" x14ac:dyDescent="0.3">
      <c r="A19" s="1">
        <v>63.28</v>
      </c>
      <c r="B19" s="1">
        <v>33.229999999999997</v>
      </c>
    </row>
    <row r="20" spans="1:2" ht="15.6" x14ac:dyDescent="0.3">
      <c r="A20" s="1">
        <v>63.51</v>
      </c>
      <c r="B20" s="1">
        <v>35.520000000000003</v>
      </c>
    </row>
    <row r="21" spans="1:2" ht="15.6" x14ac:dyDescent="0.3">
      <c r="A21" s="1">
        <v>43.17</v>
      </c>
      <c r="B21" s="1">
        <v>79.98</v>
      </c>
    </row>
    <row r="22" spans="1:2" ht="15.6" x14ac:dyDescent="0.3">
      <c r="A22" s="1">
        <v>25.58</v>
      </c>
      <c r="B22" s="1">
        <v>34.700000000000003</v>
      </c>
    </row>
    <row r="23" spans="1:2" ht="15.6" x14ac:dyDescent="0.3">
      <c r="A23" s="1">
        <v>44.31</v>
      </c>
      <c r="B23" s="1">
        <v>19.829999999999998</v>
      </c>
    </row>
    <row r="24" spans="1:2" ht="15.6" x14ac:dyDescent="0.3">
      <c r="A24" s="1">
        <v>61.93</v>
      </c>
      <c r="B24" s="1">
        <v>49.88</v>
      </c>
    </row>
    <row r="25" spans="1:2" ht="15.6" x14ac:dyDescent="0.3">
      <c r="A25" s="1">
        <v>19.05</v>
      </c>
      <c r="B25" s="1">
        <v>27.92</v>
      </c>
    </row>
    <row r="26" spans="1:2" ht="15.6" x14ac:dyDescent="0.3">
      <c r="A26" s="1">
        <v>49.22</v>
      </c>
      <c r="B26" s="1">
        <v>12.25</v>
      </c>
    </row>
    <row r="27" spans="1:2" ht="15.6" x14ac:dyDescent="0.3">
      <c r="A27" s="1">
        <v>76.78</v>
      </c>
      <c r="B27" s="1">
        <v>14.4</v>
      </c>
    </row>
    <row r="28" spans="1:2" ht="15.6" x14ac:dyDescent="0.3">
      <c r="A28" s="1">
        <v>70.83</v>
      </c>
      <c r="B28" s="1">
        <v>26.29</v>
      </c>
    </row>
    <row r="29" spans="1:2" ht="15.6" x14ac:dyDescent="0.3">
      <c r="A29" s="1">
        <v>30.64</v>
      </c>
      <c r="B29" s="1">
        <v>20.99</v>
      </c>
    </row>
    <row r="30" spans="1:2" ht="15.6" x14ac:dyDescent="0.3">
      <c r="A30" s="1">
        <v>49.49</v>
      </c>
      <c r="B30" s="1">
        <v>32.51</v>
      </c>
    </row>
    <row r="31" spans="1:2" ht="15.6" x14ac:dyDescent="0.3">
      <c r="A31" s="1">
        <v>73.11</v>
      </c>
      <c r="B31" s="1">
        <v>36.69</v>
      </c>
    </row>
    <row r="32" spans="1:2" ht="15.6" x14ac:dyDescent="0.3">
      <c r="A32" s="1">
        <v>85.39</v>
      </c>
      <c r="B32" s="1">
        <v>55.56</v>
      </c>
    </row>
    <row r="33" spans="1:2" ht="15.6" x14ac:dyDescent="0.3">
      <c r="A33" s="1">
        <v>49.2</v>
      </c>
      <c r="B33" s="1">
        <v>42.1</v>
      </c>
    </row>
    <row r="34" spans="1:2" ht="15.6" x14ac:dyDescent="0.3">
      <c r="A34" s="1">
        <v>24.79</v>
      </c>
      <c r="B34" s="1">
        <v>63.7</v>
      </c>
    </row>
    <row r="35" spans="1:2" ht="15.6" x14ac:dyDescent="0.3">
      <c r="A35" s="1">
        <v>59.28</v>
      </c>
      <c r="B35" s="1">
        <v>66.16</v>
      </c>
    </row>
    <row r="36" spans="1:2" ht="15.6" x14ac:dyDescent="0.3">
      <c r="A36" s="1">
        <v>55.32</v>
      </c>
      <c r="B36" s="1">
        <v>9.42</v>
      </c>
    </row>
    <row r="37" spans="1:2" ht="15.6" x14ac:dyDescent="0.3">
      <c r="A37" s="1">
        <v>69.77</v>
      </c>
      <c r="B37" s="1">
        <v>54.47</v>
      </c>
    </row>
    <row r="38" spans="1:2" ht="15.6" x14ac:dyDescent="0.3">
      <c r="A38" s="1">
        <v>11.98</v>
      </c>
      <c r="B38" s="1">
        <v>65.55</v>
      </c>
    </row>
    <row r="39" spans="1:2" ht="15.6" x14ac:dyDescent="0.3">
      <c r="A39" s="1">
        <v>72.34</v>
      </c>
      <c r="B39" s="1">
        <v>6.65</v>
      </c>
    </row>
    <row r="40" spans="1:2" ht="15.6" x14ac:dyDescent="0.3">
      <c r="A40" s="1">
        <v>83.19</v>
      </c>
      <c r="B40" s="1">
        <v>58.45</v>
      </c>
    </row>
    <row r="41" spans="1:2" ht="15.6" x14ac:dyDescent="0.3">
      <c r="A41" s="1">
        <v>11.84</v>
      </c>
      <c r="B41" s="1">
        <v>22.71</v>
      </c>
    </row>
    <row r="42" spans="1:2" ht="15.6" x14ac:dyDescent="0.3">
      <c r="A42" s="1">
        <v>70.05</v>
      </c>
      <c r="B42" s="1">
        <v>64.62</v>
      </c>
    </row>
    <row r="43" spans="1:2" ht="15.6" x14ac:dyDescent="0.3">
      <c r="A43" s="1">
        <v>74.86</v>
      </c>
      <c r="B43" s="1">
        <v>20.09</v>
      </c>
    </row>
    <row r="44" spans="1:2" ht="15.6" x14ac:dyDescent="0.3">
      <c r="A44" s="1">
        <v>38.68</v>
      </c>
      <c r="B44" s="1">
        <v>79.12</v>
      </c>
    </row>
    <row r="45" spans="1:2" ht="15.6" x14ac:dyDescent="0.3">
      <c r="A45" s="1">
        <v>88.99</v>
      </c>
      <c r="B45" s="1">
        <v>7.06</v>
      </c>
    </row>
    <row r="46" spans="1:2" ht="15.6" x14ac:dyDescent="0.3">
      <c r="A46" s="1">
        <v>17.809999999999999</v>
      </c>
      <c r="B46" s="1">
        <v>37.729999999999997</v>
      </c>
    </row>
    <row r="47" spans="1:2" ht="15.6" x14ac:dyDescent="0.3">
      <c r="A47" s="1">
        <v>14.84</v>
      </c>
      <c r="B47" s="1">
        <v>52.91</v>
      </c>
    </row>
    <row r="48" spans="1:2" ht="15.6" x14ac:dyDescent="0.3">
      <c r="A48" s="1">
        <v>10.55</v>
      </c>
      <c r="B48" s="1">
        <v>32.93</v>
      </c>
    </row>
    <row r="49" spans="1:2" ht="15.6" x14ac:dyDescent="0.3">
      <c r="A49" s="1">
        <v>67.08</v>
      </c>
      <c r="B49" s="1">
        <v>5.51</v>
      </c>
    </row>
    <row r="50" spans="1:2" ht="15.6" x14ac:dyDescent="0.3">
      <c r="A50" s="1">
        <v>89</v>
      </c>
      <c r="B50" s="1">
        <v>10.41</v>
      </c>
    </row>
    <row r="51" spans="1:2" ht="15.6" x14ac:dyDescent="0.3">
      <c r="A51" s="1">
        <v>84.38</v>
      </c>
      <c r="B51" s="1">
        <v>11.5</v>
      </c>
    </row>
    <row r="52" spans="1:2" ht="15.6" x14ac:dyDescent="0.3">
      <c r="A52" s="1">
        <v>54.28</v>
      </c>
      <c r="B52" s="1">
        <v>65.77</v>
      </c>
    </row>
    <row r="53" spans="1:2" ht="15.6" x14ac:dyDescent="0.3">
      <c r="A53" s="1">
        <v>31.79</v>
      </c>
      <c r="B53" s="1">
        <v>43.93</v>
      </c>
    </row>
    <row r="54" spans="1:2" ht="15.6" x14ac:dyDescent="0.3">
      <c r="A54" s="1">
        <v>50.08</v>
      </c>
      <c r="B54" s="1">
        <v>44.99</v>
      </c>
    </row>
    <row r="55" spans="1:2" ht="15.6" x14ac:dyDescent="0.3">
      <c r="A55" s="1">
        <v>87.81</v>
      </c>
      <c r="B55" s="1">
        <v>70.8</v>
      </c>
    </row>
    <row r="56" spans="1:2" ht="15.6" x14ac:dyDescent="0.3">
      <c r="A56" s="1">
        <v>44.42</v>
      </c>
      <c r="B56" s="1">
        <v>72.680000000000007</v>
      </c>
    </row>
    <row r="57" spans="1:2" ht="15.6" x14ac:dyDescent="0.3">
      <c r="A57" s="1">
        <v>77.31</v>
      </c>
      <c r="B57" s="1">
        <v>56.83</v>
      </c>
    </row>
    <row r="58" spans="1:2" ht="15.6" x14ac:dyDescent="0.3">
      <c r="A58" s="1">
        <v>68.239999999999995</v>
      </c>
      <c r="B58" s="1">
        <v>13.73</v>
      </c>
    </row>
    <row r="59" spans="1:2" ht="15.6" x14ac:dyDescent="0.3">
      <c r="A59" s="1">
        <v>78.78</v>
      </c>
      <c r="B59" s="1">
        <v>13.44</v>
      </c>
    </row>
    <row r="60" spans="1:2" ht="15.6" x14ac:dyDescent="0.3">
      <c r="A60" s="1">
        <v>18.36</v>
      </c>
      <c r="B60" s="1">
        <v>71.03</v>
      </c>
    </row>
    <row r="61" spans="1:2" ht="15.6" x14ac:dyDescent="0.3">
      <c r="A61" s="1">
        <v>21.03</v>
      </c>
      <c r="B61" s="1">
        <v>60.35</v>
      </c>
    </row>
    <row r="62" spans="1:2" ht="15.6" x14ac:dyDescent="0.3">
      <c r="A62" s="1">
        <v>50.42</v>
      </c>
      <c r="B62" s="1">
        <v>10.74</v>
      </c>
    </row>
    <row r="63" spans="1:2" ht="15.6" x14ac:dyDescent="0.3">
      <c r="A63" s="1">
        <v>15.03</v>
      </c>
      <c r="B63" s="1">
        <v>41.93</v>
      </c>
    </row>
    <row r="64" spans="1:2" ht="15.6" x14ac:dyDescent="0.3">
      <c r="A64" s="1">
        <v>71.319999999999993</v>
      </c>
      <c r="B64" s="1">
        <v>28.63</v>
      </c>
    </row>
    <row r="65" spans="1:2" ht="15.6" x14ac:dyDescent="0.3">
      <c r="A65" s="1">
        <v>31.83</v>
      </c>
      <c r="B65" s="1">
        <v>25.43</v>
      </c>
    </row>
    <row r="66" spans="1:2" ht="15.6" x14ac:dyDescent="0.3">
      <c r="A66" s="1">
        <v>57.27</v>
      </c>
      <c r="B66" s="1">
        <v>18.93</v>
      </c>
    </row>
    <row r="67" spans="1:2" ht="15.6" x14ac:dyDescent="0.3">
      <c r="A67" s="1">
        <v>27.33</v>
      </c>
      <c r="B67" s="1">
        <v>56.49</v>
      </c>
    </row>
    <row r="68" spans="1:2" ht="15.6" x14ac:dyDescent="0.3">
      <c r="A68" s="1">
        <v>61.21</v>
      </c>
      <c r="B68" s="1">
        <v>67.73</v>
      </c>
    </row>
    <row r="69" spans="1:2" ht="15.6" x14ac:dyDescent="0.3">
      <c r="A69" s="1">
        <v>75.41</v>
      </c>
      <c r="B69" s="1">
        <v>30.94</v>
      </c>
    </row>
    <row r="70" spans="1:2" ht="15.6" x14ac:dyDescent="0.3">
      <c r="A70" s="1">
        <v>71.400000000000006</v>
      </c>
      <c r="B70" s="1">
        <v>79.06</v>
      </c>
    </row>
    <row r="71" spans="1:2" ht="15.6" x14ac:dyDescent="0.3">
      <c r="A71" s="1">
        <v>46.61</v>
      </c>
      <c r="B71" s="1">
        <v>62.25</v>
      </c>
    </row>
    <row r="72" spans="1:2" ht="15.6" x14ac:dyDescent="0.3">
      <c r="A72" s="1">
        <v>68.89</v>
      </c>
      <c r="B72" s="1">
        <v>30.63</v>
      </c>
    </row>
    <row r="73" spans="1:2" ht="15.6" x14ac:dyDescent="0.3">
      <c r="A73" s="1">
        <v>43.73</v>
      </c>
      <c r="B73" s="1">
        <v>34.06</v>
      </c>
    </row>
    <row r="74" spans="1:2" ht="15.6" x14ac:dyDescent="0.3">
      <c r="A74" s="1">
        <v>88.61</v>
      </c>
      <c r="B74" s="1">
        <v>52.23</v>
      </c>
    </row>
    <row r="75" spans="1:2" ht="15.6" x14ac:dyDescent="0.3">
      <c r="A75" s="1">
        <v>23.44</v>
      </c>
      <c r="B75" s="1">
        <v>65.650000000000006</v>
      </c>
    </row>
    <row r="76" spans="1:2" ht="15.6" x14ac:dyDescent="0.3">
      <c r="A76" s="1">
        <v>56.12</v>
      </c>
      <c r="B76" s="1">
        <v>46.19</v>
      </c>
    </row>
    <row r="77" spans="1:2" ht="15.6" x14ac:dyDescent="0.3">
      <c r="A77" s="1">
        <v>71.78</v>
      </c>
      <c r="B77" s="1">
        <v>58.01</v>
      </c>
    </row>
    <row r="78" spans="1:2" ht="15.6" x14ac:dyDescent="0.3">
      <c r="A78" s="1">
        <v>79.37</v>
      </c>
      <c r="B78" s="1">
        <v>12.58</v>
      </c>
    </row>
    <row r="79" spans="1:2" ht="15.6" x14ac:dyDescent="0.3">
      <c r="A79" s="1">
        <v>23.56</v>
      </c>
      <c r="B79" s="1">
        <v>25.88</v>
      </c>
    </row>
    <row r="80" spans="1:2" ht="15.6" x14ac:dyDescent="0.3">
      <c r="A80" s="1">
        <v>43.07</v>
      </c>
      <c r="B80" s="1">
        <v>22.33</v>
      </c>
    </row>
    <row r="81" spans="1:2" ht="15.6" x14ac:dyDescent="0.3">
      <c r="A81" s="1">
        <v>46.14</v>
      </c>
      <c r="B81" s="1">
        <v>44.09</v>
      </c>
    </row>
    <row r="82" spans="1:2" ht="15.6" x14ac:dyDescent="0.3">
      <c r="A82" s="1">
        <v>86.18</v>
      </c>
      <c r="B82" s="1">
        <v>58.16</v>
      </c>
    </row>
    <row r="83" spans="1:2" ht="15.6" x14ac:dyDescent="0.3">
      <c r="A83" s="1">
        <v>19.02</v>
      </c>
      <c r="B83" s="1">
        <v>12.1</v>
      </c>
    </row>
    <row r="84" spans="1:2" ht="15.6" x14ac:dyDescent="0.3">
      <c r="A84" s="1">
        <v>43.82</v>
      </c>
      <c r="B84" s="1">
        <v>75.569999999999993</v>
      </c>
    </row>
    <row r="85" spans="1:2" ht="15.6" x14ac:dyDescent="0.3">
      <c r="A85" s="1">
        <v>69.260000000000005</v>
      </c>
      <c r="B85" s="1">
        <v>74.61</v>
      </c>
    </row>
    <row r="86" spans="1:2" ht="15.6" x14ac:dyDescent="0.3">
      <c r="A86" s="1">
        <v>85.43</v>
      </c>
      <c r="B86" s="1">
        <v>73.73</v>
      </c>
    </row>
    <row r="87" spans="1:2" ht="15.6" x14ac:dyDescent="0.3">
      <c r="A87" s="1">
        <v>49.19</v>
      </c>
      <c r="B87" s="1">
        <v>74.010000000000005</v>
      </c>
    </row>
    <row r="88" spans="1:2" ht="15.6" x14ac:dyDescent="0.3">
      <c r="A88" s="1">
        <v>47.47</v>
      </c>
      <c r="B88" s="1">
        <v>52.97</v>
      </c>
    </row>
    <row r="89" spans="1:2" ht="15.6" x14ac:dyDescent="0.3">
      <c r="A89" s="1">
        <v>45.97</v>
      </c>
      <c r="B89" s="1">
        <v>72.430000000000007</v>
      </c>
    </row>
    <row r="90" spans="1:2" ht="15.6" x14ac:dyDescent="0.3">
      <c r="A90" s="1">
        <v>81.02</v>
      </c>
      <c r="B90" s="1">
        <v>63.8</v>
      </c>
    </row>
    <row r="91" spans="1:2" ht="15.6" x14ac:dyDescent="0.3">
      <c r="A91" s="1">
        <v>40.520000000000003</v>
      </c>
      <c r="B91" s="1">
        <v>17.78</v>
      </c>
    </row>
    <row r="92" spans="1:2" ht="15.6" x14ac:dyDescent="0.3">
      <c r="A92" s="1">
        <v>71.19</v>
      </c>
      <c r="B92" s="1">
        <v>64.81</v>
      </c>
    </row>
    <row r="93" spans="1:2" ht="15.6" x14ac:dyDescent="0.3">
      <c r="A93" s="1">
        <v>34.58</v>
      </c>
      <c r="B93" s="1">
        <v>76.69</v>
      </c>
    </row>
    <row r="94" spans="1:2" ht="15.6" x14ac:dyDescent="0.3">
      <c r="A94" s="1">
        <v>31</v>
      </c>
      <c r="B94" s="1">
        <v>11.77</v>
      </c>
    </row>
    <row r="95" spans="1:2" ht="15.6" x14ac:dyDescent="0.3">
      <c r="A95" s="1">
        <v>72.900000000000006</v>
      </c>
      <c r="B95" s="1">
        <v>42.98</v>
      </c>
    </row>
    <row r="96" spans="1:2" ht="15.6" x14ac:dyDescent="0.3">
      <c r="A96" s="1">
        <v>16.940000000000001</v>
      </c>
      <c r="B96" s="1">
        <v>47.39</v>
      </c>
    </row>
    <row r="97" spans="1:2" ht="15.6" x14ac:dyDescent="0.3">
      <c r="A97" s="1">
        <v>78.87</v>
      </c>
      <c r="B97" s="1">
        <v>38.5</v>
      </c>
    </row>
    <row r="98" spans="1:2" ht="15.6" x14ac:dyDescent="0.3">
      <c r="A98" s="1">
        <v>30.74</v>
      </c>
      <c r="B98" s="1">
        <v>33.93</v>
      </c>
    </row>
    <row r="99" spans="1:2" ht="15.6" x14ac:dyDescent="0.3">
      <c r="A99" s="1">
        <v>86.18</v>
      </c>
      <c r="B99" s="1">
        <v>23.25</v>
      </c>
    </row>
    <row r="100" spans="1:2" ht="15.6" x14ac:dyDescent="0.3">
      <c r="A100" s="1">
        <v>15</v>
      </c>
      <c r="B100" s="1">
        <v>77.400000000000006</v>
      </c>
    </row>
    <row r="101" spans="1:2" ht="15.6" x14ac:dyDescent="0.3">
      <c r="A101" s="1">
        <v>37.33</v>
      </c>
      <c r="B101" s="1">
        <v>12.97</v>
      </c>
    </row>
    <row r="102" spans="1:2" ht="15.6" x14ac:dyDescent="0.3">
      <c r="A102" s="1">
        <v>36.26</v>
      </c>
      <c r="B102" s="1">
        <v>78.040000000000006</v>
      </c>
    </row>
    <row r="103" spans="1:2" ht="15.6" x14ac:dyDescent="0.3">
      <c r="A103" s="1">
        <v>26.86</v>
      </c>
      <c r="B103" s="1">
        <v>70.040000000000006</v>
      </c>
    </row>
    <row r="104" spans="1:2" ht="15.6" x14ac:dyDescent="0.3">
      <c r="A104" s="1">
        <v>76.86</v>
      </c>
      <c r="B104" s="1">
        <v>35.17</v>
      </c>
    </row>
    <row r="105" spans="1:2" ht="15.6" x14ac:dyDescent="0.3">
      <c r="A105" s="1">
        <v>42.49</v>
      </c>
      <c r="B105" s="1">
        <v>74.47</v>
      </c>
    </row>
    <row r="106" spans="1:2" ht="15.6" x14ac:dyDescent="0.3">
      <c r="A106" s="1">
        <v>72.89</v>
      </c>
      <c r="B106" s="1">
        <v>33.26</v>
      </c>
    </row>
    <row r="107" spans="1:2" ht="15.6" x14ac:dyDescent="0.3">
      <c r="A107" s="1">
        <v>29.75</v>
      </c>
      <c r="B107" s="1">
        <v>47.67</v>
      </c>
    </row>
    <row r="108" spans="1:2" ht="15.6" x14ac:dyDescent="0.3">
      <c r="A108" s="1">
        <v>61.38</v>
      </c>
      <c r="B108" s="1">
        <v>44.54</v>
      </c>
    </row>
    <row r="109" spans="1:2" ht="15.6" x14ac:dyDescent="0.3">
      <c r="A109" s="1">
        <v>33.94</v>
      </c>
      <c r="B109" s="1">
        <v>73.680000000000007</v>
      </c>
    </row>
    <row r="110" spans="1:2" ht="15.6" x14ac:dyDescent="0.3">
      <c r="A110" s="1">
        <v>23.3</v>
      </c>
      <c r="B110" s="1">
        <v>9.24</v>
      </c>
    </row>
    <row r="111" spans="1:2" ht="15.6" x14ac:dyDescent="0.3">
      <c r="A111" s="1">
        <v>33.299999999999997</v>
      </c>
      <c r="B111" s="1">
        <v>18.97</v>
      </c>
    </row>
    <row r="112" spans="1:2" ht="15.6" x14ac:dyDescent="0.3">
      <c r="A112" s="1">
        <v>72.27</v>
      </c>
      <c r="B112" s="1">
        <v>68.39</v>
      </c>
    </row>
    <row r="113" spans="1:2" ht="15.6" x14ac:dyDescent="0.3">
      <c r="A113" s="1">
        <v>88.11</v>
      </c>
      <c r="B113" s="1">
        <v>60.61</v>
      </c>
    </row>
    <row r="114" spans="1:2" ht="15.6" x14ac:dyDescent="0.3">
      <c r="A114" s="1">
        <v>33.74</v>
      </c>
      <c r="B114" s="1">
        <v>10.19</v>
      </c>
    </row>
    <row r="115" spans="1:2" ht="15.6" x14ac:dyDescent="0.3">
      <c r="A115" s="1">
        <v>60.42</v>
      </c>
      <c r="B115" s="1">
        <v>15.37</v>
      </c>
    </row>
    <row r="116" spans="1:2" ht="15.6" x14ac:dyDescent="0.3">
      <c r="A116" s="1">
        <v>49.61</v>
      </c>
      <c r="B116" s="1">
        <v>26.04</v>
      </c>
    </row>
    <row r="117" spans="1:2" ht="15.6" x14ac:dyDescent="0.3">
      <c r="A117" s="1">
        <v>65.33</v>
      </c>
      <c r="B117" s="1">
        <v>49.29</v>
      </c>
    </row>
    <row r="118" spans="1:2" ht="15.6" x14ac:dyDescent="0.3">
      <c r="A118" s="1">
        <v>62.8</v>
      </c>
      <c r="B118" s="1">
        <v>72.31</v>
      </c>
    </row>
    <row r="119" spans="1:2" ht="15.6" x14ac:dyDescent="0.3">
      <c r="A119" s="1">
        <v>57.83</v>
      </c>
      <c r="B119" s="1">
        <v>24.37</v>
      </c>
    </row>
    <row r="120" spans="1:2" ht="15.6" x14ac:dyDescent="0.3">
      <c r="A120" s="1">
        <v>84.8</v>
      </c>
      <c r="B120" s="1">
        <v>7.21</v>
      </c>
    </row>
    <row r="121" spans="1:2" ht="15.6" x14ac:dyDescent="0.3">
      <c r="A121" s="1">
        <v>72.989999999999995</v>
      </c>
      <c r="B121" s="1">
        <v>24.56</v>
      </c>
    </row>
    <row r="122" spans="1:2" ht="15.6" x14ac:dyDescent="0.3">
      <c r="A122" s="1">
        <v>11.26</v>
      </c>
      <c r="B122" s="1">
        <v>40.18</v>
      </c>
    </row>
    <row r="123" spans="1:2" ht="15.6" x14ac:dyDescent="0.3">
      <c r="A123" s="1">
        <v>16.11</v>
      </c>
      <c r="B123" s="1">
        <v>50.67</v>
      </c>
    </row>
    <row r="124" spans="1:2" ht="15.6" x14ac:dyDescent="0.3">
      <c r="A124" s="1">
        <v>80.44</v>
      </c>
      <c r="B124" s="1">
        <v>9.14</v>
      </c>
    </row>
    <row r="125" spans="1:2" ht="15.6" x14ac:dyDescent="0.3">
      <c r="A125" s="1">
        <v>39.880000000000003</v>
      </c>
      <c r="B125" s="1">
        <v>30.56</v>
      </c>
    </row>
    <row r="126" spans="1:2" ht="15.6" x14ac:dyDescent="0.3">
      <c r="A126" s="1">
        <v>27.72</v>
      </c>
      <c r="B126" s="1">
        <v>64.63</v>
      </c>
    </row>
    <row r="127" spans="1:2" ht="15.6" x14ac:dyDescent="0.3">
      <c r="A127" s="1">
        <v>27.74</v>
      </c>
      <c r="B127" s="1">
        <v>32.03</v>
      </c>
    </row>
    <row r="128" spans="1:2" ht="15.6" x14ac:dyDescent="0.3">
      <c r="A128" s="1">
        <v>48.03</v>
      </c>
      <c r="B128" s="1">
        <v>29.7</v>
      </c>
    </row>
    <row r="129" spans="1:2" ht="15.6" x14ac:dyDescent="0.3">
      <c r="A129" s="1">
        <v>72.8</v>
      </c>
      <c r="B129" s="1">
        <v>64.89</v>
      </c>
    </row>
    <row r="130" spans="1:2" ht="15.6" x14ac:dyDescent="0.3">
      <c r="A130" s="1">
        <v>30.05</v>
      </c>
      <c r="B130" s="1">
        <v>9.94</v>
      </c>
    </row>
    <row r="131" spans="1:2" ht="15.6" x14ac:dyDescent="0.3">
      <c r="A131" s="1">
        <v>56.66</v>
      </c>
      <c r="B131" s="1">
        <v>28.55</v>
      </c>
    </row>
    <row r="132" spans="1:2" ht="15.6" x14ac:dyDescent="0.3">
      <c r="A132" s="1">
        <v>69.34</v>
      </c>
      <c r="B132" s="1">
        <v>36.17</v>
      </c>
    </row>
    <row r="133" spans="1:2" ht="15.6" x14ac:dyDescent="0.3">
      <c r="A133" s="1">
        <v>68.459999999999994</v>
      </c>
      <c r="B133" s="1">
        <v>35.119999999999997</v>
      </c>
    </row>
    <row r="134" spans="1:2" ht="15.6" x14ac:dyDescent="0.3">
      <c r="A134" s="1">
        <v>62.49</v>
      </c>
      <c r="B134" s="1">
        <v>36.53</v>
      </c>
    </row>
    <row r="135" spans="1:2" ht="15.6" x14ac:dyDescent="0.3">
      <c r="A135" s="1">
        <v>12.11</v>
      </c>
      <c r="B135" s="1">
        <v>47.22</v>
      </c>
    </row>
    <row r="136" spans="1:2" ht="15.6" x14ac:dyDescent="0.3">
      <c r="A136" s="1">
        <v>24.29</v>
      </c>
      <c r="B136" s="1">
        <v>18.98</v>
      </c>
    </row>
    <row r="137" spans="1:2" ht="15.6" x14ac:dyDescent="0.3">
      <c r="A137" s="1">
        <v>33.83</v>
      </c>
      <c r="B137" s="1">
        <v>18.72</v>
      </c>
    </row>
    <row r="138" spans="1:2" ht="15.6" x14ac:dyDescent="0.3">
      <c r="A138" s="1">
        <v>49.76</v>
      </c>
      <c r="B138" s="1">
        <v>41.61</v>
      </c>
    </row>
    <row r="139" spans="1:2" ht="15.6" x14ac:dyDescent="0.3">
      <c r="A139" s="1">
        <v>24.47</v>
      </c>
      <c r="B139" s="1">
        <v>61.38</v>
      </c>
    </row>
    <row r="140" spans="1:2" ht="15.6" x14ac:dyDescent="0.3">
      <c r="A140" s="1">
        <v>80.040000000000006</v>
      </c>
      <c r="B140" s="1">
        <v>41.47</v>
      </c>
    </row>
    <row r="141" spans="1:2" ht="15.6" x14ac:dyDescent="0.3">
      <c r="A141" s="1">
        <v>55.82</v>
      </c>
      <c r="B141" s="1">
        <v>65.930000000000007</v>
      </c>
    </row>
    <row r="142" spans="1:2" ht="15.6" x14ac:dyDescent="0.3">
      <c r="A142" s="1">
        <v>45.57</v>
      </c>
      <c r="B142" s="1">
        <v>31.35</v>
      </c>
    </row>
    <row r="143" spans="1:2" ht="15.6" x14ac:dyDescent="0.3">
      <c r="A143" s="1">
        <v>78.2</v>
      </c>
      <c r="B143" s="1">
        <v>36.68</v>
      </c>
    </row>
    <row r="144" spans="1:2" ht="15.6" x14ac:dyDescent="0.3">
      <c r="A144" s="1">
        <v>11.3</v>
      </c>
      <c r="B144" s="1">
        <v>26.81</v>
      </c>
    </row>
    <row r="145" spans="1:2" ht="15.6" x14ac:dyDescent="0.3">
      <c r="A145" s="1">
        <v>57.5</v>
      </c>
      <c r="B145" s="1">
        <v>58.75</v>
      </c>
    </row>
    <row r="146" spans="1:2" ht="15.6" x14ac:dyDescent="0.3">
      <c r="A146" s="1">
        <v>87.65</v>
      </c>
      <c r="B146" s="1">
        <v>51.8</v>
      </c>
    </row>
    <row r="147" spans="1:2" ht="15.6" x14ac:dyDescent="0.3">
      <c r="A147" s="1">
        <v>20.059999999999999</v>
      </c>
      <c r="B147" s="1">
        <v>68.86</v>
      </c>
    </row>
    <row r="148" spans="1:2" ht="15.6" x14ac:dyDescent="0.3">
      <c r="A148" s="1">
        <v>84.48</v>
      </c>
      <c r="B148" s="1">
        <v>34.08</v>
      </c>
    </row>
    <row r="149" spans="1:2" ht="15.6" x14ac:dyDescent="0.3">
      <c r="A149" s="1">
        <v>54.79</v>
      </c>
      <c r="B149" s="1">
        <v>8.65</v>
      </c>
    </row>
    <row r="150" spans="1:2" ht="15.6" x14ac:dyDescent="0.3">
      <c r="A150" s="1">
        <v>35.340000000000003</v>
      </c>
      <c r="B150" s="1">
        <v>68.08</v>
      </c>
    </row>
    <row r="151" spans="1:2" ht="15.6" x14ac:dyDescent="0.3">
      <c r="A151" s="1">
        <v>34.659999999999997</v>
      </c>
      <c r="B151" s="1">
        <v>41.7</v>
      </c>
    </row>
    <row r="152" spans="1:2" ht="15.6" x14ac:dyDescent="0.3">
      <c r="A152" s="1">
        <v>85.99</v>
      </c>
      <c r="B152" s="1">
        <v>68.739999999999995</v>
      </c>
    </row>
    <row r="153" spans="1:2" ht="15.6" x14ac:dyDescent="0.3">
      <c r="A153" s="1">
        <v>81.77</v>
      </c>
      <c r="B153" s="1">
        <v>77.430000000000007</v>
      </c>
    </row>
    <row r="154" spans="1:2" ht="15.6" x14ac:dyDescent="0.3">
      <c r="A154" s="1">
        <v>60.83</v>
      </c>
      <c r="B154" s="1">
        <v>36.36</v>
      </c>
    </row>
    <row r="155" spans="1:2" ht="15.6" x14ac:dyDescent="0.3">
      <c r="A155" s="1">
        <v>68.11</v>
      </c>
      <c r="B155" s="1">
        <v>37.96</v>
      </c>
    </row>
    <row r="156" spans="1:2" ht="15.6" x14ac:dyDescent="0.3">
      <c r="A156" s="1">
        <v>17.87</v>
      </c>
      <c r="B156" s="1">
        <v>79.349999999999994</v>
      </c>
    </row>
    <row r="157" spans="1:2" ht="15.6" x14ac:dyDescent="0.3">
      <c r="A157" s="1">
        <v>35.31</v>
      </c>
      <c r="B157" s="1">
        <v>58.3</v>
      </c>
    </row>
    <row r="158" spans="1:2" ht="15.6" x14ac:dyDescent="0.3">
      <c r="A158" s="1">
        <v>69.010000000000005</v>
      </c>
      <c r="B158" s="1">
        <v>6.73</v>
      </c>
    </row>
    <row r="159" spans="1:2" ht="15.6" x14ac:dyDescent="0.3">
      <c r="A159" s="1">
        <v>31.46</v>
      </c>
      <c r="B159" s="1">
        <v>62.67</v>
      </c>
    </row>
    <row r="160" spans="1:2" ht="15.6" x14ac:dyDescent="0.3">
      <c r="A160" s="1">
        <v>51.18</v>
      </c>
      <c r="B160" s="1">
        <v>37.25</v>
      </c>
    </row>
    <row r="161" spans="1:2" ht="15.6" x14ac:dyDescent="0.3">
      <c r="A161" s="1">
        <v>67.33</v>
      </c>
      <c r="B161" s="1">
        <v>47.09</v>
      </c>
    </row>
    <row r="162" spans="1:2" ht="15.6" x14ac:dyDescent="0.3">
      <c r="A162" s="1">
        <v>84.14</v>
      </c>
      <c r="B162" s="1">
        <v>66</v>
      </c>
    </row>
    <row r="163" spans="1:2" ht="15.6" x14ac:dyDescent="0.3">
      <c r="A163" s="1">
        <v>26.22</v>
      </c>
      <c r="B163" s="1">
        <v>37.24</v>
      </c>
    </row>
    <row r="164" spans="1:2" ht="15.6" x14ac:dyDescent="0.3">
      <c r="A164" s="1">
        <v>84.4</v>
      </c>
      <c r="B164" s="1">
        <v>54.76</v>
      </c>
    </row>
    <row r="165" spans="1:2" ht="15.6" x14ac:dyDescent="0.3">
      <c r="A165" s="1">
        <v>89.39</v>
      </c>
      <c r="B165" s="1">
        <v>44.99</v>
      </c>
    </row>
    <row r="166" spans="1:2" ht="15.6" x14ac:dyDescent="0.3">
      <c r="A166" s="1">
        <v>60.49</v>
      </c>
      <c r="B166" s="1">
        <v>42.3</v>
      </c>
    </row>
    <row r="167" spans="1:2" ht="15.6" x14ac:dyDescent="0.3">
      <c r="A167" s="1">
        <v>71.37</v>
      </c>
      <c r="B167" s="1">
        <v>71.69</v>
      </c>
    </row>
    <row r="168" spans="1:2" ht="15.6" x14ac:dyDescent="0.3">
      <c r="A168" s="1">
        <v>46.96</v>
      </c>
      <c r="B168" s="1">
        <v>69.66</v>
      </c>
    </row>
    <row r="169" spans="1:2" ht="15.6" x14ac:dyDescent="0.3">
      <c r="A169" s="1">
        <v>55.13</v>
      </c>
      <c r="B169" s="1">
        <v>66.17</v>
      </c>
    </row>
    <row r="170" spans="1:2" ht="15.6" x14ac:dyDescent="0.3">
      <c r="A170" s="1">
        <v>55.98</v>
      </c>
      <c r="B170" s="1">
        <v>49.2</v>
      </c>
    </row>
    <row r="171" spans="1:2" ht="15.6" x14ac:dyDescent="0.3">
      <c r="A171" s="1">
        <v>48.88</v>
      </c>
      <c r="B171" s="1">
        <v>27.79</v>
      </c>
    </row>
    <row r="172" spans="1:2" ht="15.6" x14ac:dyDescent="0.3">
      <c r="A172" s="1">
        <v>46.16</v>
      </c>
      <c r="B172" s="1">
        <v>41.49</v>
      </c>
    </row>
    <row r="173" spans="1:2" ht="15.6" x14ac:dyDescent="0.3">
      <c r="A173" s="1">
        <v>12.02</v>
      </c>
      <c r="B173" s="1">
        <v>64.489999999999995</v>
      </c>
    </row>
    <row r="174" spans="1:2" ht="15.6" x14ac:dyDescent="0.3">
      <c r="A174" s="1">
        <v>26.33</v>
      </c>
      <c r="B174" s="1">
        <v>53.61</v>
      </c>
    </row>
    <row r="175" spans="1:2" ht="15.6" x14ac:dyDescent="0.3">
      <c r="A175" s="1">
        <v>39.67</v>
      </c>
      <c r="B175" s="1">
        <v>45.9</v>
      </c>
    </row>
    <row r="176" spans="1:2" ht="15.6" x14ac:dyDescent="0.3">
      <c r="A176" s="1">
        <v>77.83</v>
      </c>
      <c r="B176" s="1">
        <v>47.62</v>
      </c>
    </row>
    <row r="177" spans="1:2" ht="15.6" x14ac:dyDescent="0.3">
      <c r="A177" s="1">
        <v>40.17</v>
      </c>
      <c r="B177" s="1">
        <v>9.2799999999999994</v>
      </c>
    </row>
    <row r="178" spans="1:2" ht="15.6" x14ac:dyDescent="0.3">
      <c r="A178" s="1">
        <v>76.790000000000006</v>
      </c>
      <c r="B178" s="1">
        <v>38.08</v>
      </c>
    </row>
    <row r="179" spans="1:2" ht="15.6" x14ac:dyDescent="0.3">
      <c r="A179" s="1">
        <v>12.17</v>
      </c>
      <c r="B179" s="1">
        <v>73.510000000000005</v>
      </c>
    </row>
    <row r="180" spans="1:2" ht="15.6" x14ac:dyDescent="0.3">
      <c r="A180" s="1">
        <v>47.09</v>
      </c>
      <c r="B180" s="1">
        <v>63.09</v>
      </c>
    </row>
    <row r="181" spans="1:2" ht="15.6" x14ac:dyDescent="0.3">
      <c r="A181" s="1">
        <v>10.55</v>
      </c>
      <c r="B181" s="1">
        <v>12.77</v>
      </c>
    </row>
    <row r="182" spans="1:2" ht="15.6" x14ac:dyDescent="0.3">
      <c r="A182" s="1">
        <v>46.76</v>
      </c>
      <c r="B182" s="1">
        <v>67.91</v>
      </c>
    </row>
    <row r="183" spans="1:2" ht="15.6" x14ac:dyDescent="0.3">
      <c r="A183" s="1">
        <v>35.409999999999997</v>
      </c>
      <c r="B183" s="1">
        <v>55.65</v>
      </c>
    </row>
    <row r="184" spans="1:2" ht="15.6" x14ac:dyDescent="0.3">
      <c r="A184" s="1">
        <v>50.97</v>
      </c>
      <c r="B184" s="1">
        <v>32.39</v>
      </c>
    </row>
    <row r="185" spans="1:2" ht="15.6" x14ac:dyDescent="0.3">
      <c r="A185" s="1">
        <v>18.170000000000002</v>
      </c>
      <c r="B185" s="1">
        <v>65.78</v>
      </c>
    </row>
    <row r="186" spans="1:2" ht="15.6" x14ac:dyDescent="0.3">
      <c r="A186" s="1">
        <v>70.239999999999995</v>
      </c>
      <c r="B186" s="1">
        <v>54.17</v>
      </c>
    </row>
    <row r="187" spans="1:2" ht="15.6" x14ac:dyDescent="0.3">
      <c r="A187" s="1">
        <v>11.2</v>
      </c>
      <c r="B187" s="1">
        <v>6.42</v>
      </c>
    </row>
    <row r="188" spans="1:2" ht="15.6" x14ac:dyDescent="0.3">
      <c r="A188" s="1">
        <v>79.41</v>
      </c>
      <c r="B188" s="1">
        <v>5.25</v>
      </c>
    </row>
    <row r="189" spans="1:2" ht="15.6" x14ac:dyDescent="0.3">
      <c r="A189" s="1">
        <v>77.959999999999994</v>
      </c>
      <c r="B189" s="1">
        <v>26.73</v>
      </c>
    </row>
    <row r="190" spans="1:2" ht="15.6" x14ac:dyDescent="0.3">
      <c r="A190" s="1">
        <v>53.68</v>
      </c>
      <c r="B190" s="1">
        <v>79.099999999999994</v>
      </c>
    </row>
    <row r="191" spans="1:2" ht="15.6" x14ac:dyDescent="0.3">
      <c r="A191" s="1">
        <v>28.72</v>
      </c>
      <c r="B191" s="1">
        <v>32.880000000000003</v>
      </c>
    </row>
    <row r="192" spans="1:2" ht="15.6" x14ac:dyDescent="0.3">
      <c r="A192" s="1">
        <v>34.549999999999997</v>
      </c>
      <c r="B192" s="1">
        <v>16.059999999999999</v>
      </c>
    </row>
    <row r="193" spans="1:2" ht="15.6" x14ac:dyDescent="0.3">
      <c r="A193" s="1">
        <v>55.7</v>
      </c>
      <c r="B193" s="1">
        <v>46.86</v>
      </c>
    </row>
    <row r="194" spans="1:2" ht="15.6" x14ac:dyDescent="0.3">
      <c r="A194" s="1">
        <v>19.8</v>
      </c>
      <c r="B194" s="1">
        <v>50.58</v>
      </c>
    </row>
    <row r="195" spans="1:2" ht="15.6" x14ac:dyDescent="0.3">
      <c r="A195" s="1">
        <v>68.319999999999993</v>
      </c>
      <c r="B195" s="1">
        <v>32.549999999999997</v>
      </c>
    </row>
    <row r="196" spans="1:2" ht="15.6" x14ac:dyDescent="0.3">
      <c r="A196" s="1">
        <v>71.98</v>
      </c>
      <c r="B196" s="1">
        <v>34.28</v>
      </c>
    </row>
    <row r="197" spans="1:2" ht="15.6" x14ac:dyDescent="0.3">
      <c r="A197" s="1">
        <v>33.53</v>
      </c>
      <c r="B197" s="1">
        <v>15.93</v>
      </c>
    </row>
    <row r="198" spans="1:2" ht="15.6" x14ac:dyDescent="0.3">
      <c r="A198" s="1">
        <v>73.84</v>
      </c>
      <c r="B198" s="1">
        <v>38.979999999999997</v>
      </c>
    </row>
    <row r="199" spans="1:2" ht="15.6" x14ac:dyDescent="0.3">
      <c r="A199" s="1">
        <v>18.34</v>
      </c>
      <c r="B199" s="1">
        <v>50.23</v>
      </c>
    </row>
    <row r="200" spans="1:2" ht="15.6" x14ac:dyDescent="0.3">
      <c r="A200" s="1">
        <v>16.23</v>
      </c>
      <c r="B200" s="1">
        <v>77.290000000000006</v>
      </c>
    </row>
    <row r="201" spans="1:2" ht="15.6" x14ac:dyDescent="0.3">
      <c r="A201" s="1">
        <v>36.5</v>
      </c>
      <c r="B201" s="1">
        <v>61.94</v>
      </c>
    </row>
    <row r="202" spans="1:2" ht="15.6" x14ac:dyDescent="0.3">
      <c r="A202" s="1">
        <v>72.48</v>
      </c>
      <c r="B202" s="1">
        <v>54.21</v>
      </c>
    </row>
    <row r="203" spans="1:2" ht="15.6" x14ac:dyDescent="0.3">
      <c r="A203" s="1">
        <v>58.15</v>
      </c>
      <c r="B203" s="1">
        <v>45.46</v>
      </c>
    </row>
    <row r="204" spans="1:2" ht="15.6" x14ac:dyDescent="0.3">
      <c r="A204" s="1">
        <v>33.24</v>
      </c>
      <c r="B204" s="1">
        <v>22.03</v>
      </c>
    </row>
    <row r="205" spans="1:2" ht="15.6" x14ac:dyDescent="0.3">
      <c r="A205" s="1">
        <v>52.37</v>
      </c>
      <c r="B205" s="1">
        <v>48.03</v>
      </c>
    </row>
    <row r="206" spans="1:2" ht="15.6" x14ac:dyDescent="0.3">
      <c r="A206" s="1">
        <v>47.08</v>
      </c>
      <c r="B206" s="1">
        <v>65.39</v>
      </c>
    </row>
    <row r="207" spans="1:2" ht="15.6" x14ac:dyDescent="0.3">
      <c r="A207" s="1">
        <v>65.48</v>
      </c>
      <c r="B207" s="1">
        <v>53.69</v>
      </c>
    </row>
    <row r="208" spans="1:2" ht="15.6" x14ac:dyDescent="0.3">
      <c r="A208" s="1">
        <v>87.1</v>
      </c>
      <c r="B208" s="1">
        <v>36.549999999999997</v>
      </c>
    </row>
    <row r="209" spans="1:2" ht="15.6" x14ac:dyDescent="0.3">
      <c r="A209" s="1">
        <v>37.69</v>
      </c>
      <c r="B209" s="1">
        <v>44.04</v>
      </c>
    </row>
    <row r="210" spans="1:2" ht="15.6" x14ac:dyDescent="0.3">
      <c r="A210" s="1">
        <v>15.9</v>
      </c>
      <c r="B210" s="1">
        <v>55.3</v>
      </c>
    </row>
    <row r="211" spans="1:2" ht="15.6" x14ac:dyDescent="0.3">
      <c r="A211" s="1">
        <v>40.31</v>
      </c>
      <c r="B211" s="1">
        <v>21.15</v>
      </c>
    </row>
    <row r="212" spans="1:2" ht="15.6" x14ac:dyDescent="0.3">
      <c r="A212" s="1">
        <v>21.66</v>
      </c>
      <c r="B212" s="1">
        <v>55.9</v>
      </c>
    </row>
    <row r="213" spans="1:2" ht="15.6" x14ac:dyDescent="0.3">
      <c r="A213" s="1">
        <v>73.91</v>
      </c>
      <c r="B213" s="1">
        <v>14.59</v>
      </c>
    </row>
    <row r="214" spans="1:2" ht="15.6" x14ac:dyDescent="0.3">
      <c r="A214" s="1">
        <v>89.04</v>
      </c>
      <c r="B214" s="1">
        <v>31.49</v>
      </c>
    </row>
    <row r="215" spans="1:2" ht="15.6" x14ac:dyDescent="0.3">
      <c r="A215" s="1">
        <v>38.479999999999997</v>
      </c>
      <c r="B215" s="1">
        <v>52.28</v>
      </c>
    </row>
    <row r="216" spans="1:2" ht="15.6" x14ac:dyDescent="0.3">
      <c r="A216" s="1">
        <v>47.31</v>
      </c>
      <c r="B216" s="1">
        <v>38.909999999999997</v>
      </c>
    </row>
    <row r="217" spans="1:2" ht="15.6" x14ac:dyDescent="0.3">
      <c r="A217" s="1">
        <v>59.1</v>
      </c>
      <c r="B217" s="1">
        <v>44.22</v>
      </c>
    </row>
    <row r="218" spans="1:2" ht="15.6" x14ac:dyDescent="0.3">
      <c r="A218" s="1">
        <v>15.81</v>
      </c>
      <c r="B218" s="1">
        <v>61.07</v>
      </c>
    </row>
    <row r="219" spans="1:2" ht="15.6" x14ac:dyDescent="0.3">
      <c r="A219" s="1">
        <v>36.450000000000003</v>
      </c>
      <c r="B219" s="1">
        <v>69.16</v>
      </c>
    </row>
    <row r="220" spans="1:2" ht="15.6" x14ac:dyDescent="0.3">
      <c r="A220" s="1">
        <v>59.14</v>
      </c>
      <c r="B220" s="1">
        <v>67.22</v>
      </c>
    </row>
    <row r="221" spans="1:2" ht="15.6" x14ac:dyDescent="0.3">
      <c r="A221" s="1">
        <v>78.040000000000006</v>
      </c>
      <c r="B221" s="1">
        <v>22</v>
      </c>
    </row>
    <row r="222" spans="1:2" ht="15.6" x14ac:dyDescent="0.3">
      <c r="A222" s="1">
        <v>85</v>
      </c>
      <c r="B222" s="1">
        <v>58.17</v>
      </c>
    </row>
    <row r="223" spans="1:2" ht="15.6" x14ac:dyDescent="0.3">
      <c r="A223" s="1">
        <v>76.459999999999994</v>
      </c>
      <c r="B223" s="1">
        <v>30.55</v>
      </c>
    </row>
    <row r="224" spans="1:2" ht="15.6" x14ac:dyDescent="0.3">
      <c r="A224" s="1">
        <v>27.35</v>
      </c>
      <c r="B224" s="1">
        <v>22.38</v>
      </c>
    </row>
    <row r="225" spans="1:2" ht="15.6" x14ac:dyDescent="0.3">
      <c r="A225" s="1">
        <v>59.45</v>
      </c>
      <c r="B225" s="1">
        <v>9.2200000000000006</v>
      </c>
    </row>
    <row r="226" spans="1:2" ht="15.6" x14ac:dyDescent="0.3">
      <c r="A226" s="1">
        <v>54.98</v>
      </c>
      <c r="B226" s="1">
        <v>58.44</v>
      </c>
    </row>
    <row r="227" spans="1:2" ht="15.6" x14ac:dyDescent="0.3">
      <c r="A227" s="1">
        <v>61.88</v>
      </c>
      <c r="B227" s="1">
        <v>44.78</v>
      </c>
    </row>
    <row r="228" spans="1:2" ht="15.6" x14ac:dyDescent="0.3">
      <c r="A228" s="1">
        <v>73.02</v>
      </c>
      <c r="B228" s="1">
        <v>36.82</v>
      </c>
    </row>
    <row r="229" spans="1:2" ht="15.6" x14ac:dyDescent="0.3">
      <c r="A229" s="1">
        <v>25.97</v>
      </c>
      <c r="B229" s="1">
        <v>10.35</v>
      </c>
    </row>
    <row r="230" spans="1:2" ht="15.6" x14ac:dyDescent="0.3">
      <c r="A230" s="1">
        <v>15.22</v>
      </c>
      <c r="B230" s="1">
        <v>34.479999999999997</v>
      </c>
    </row>
    <row r="231" spans="1:2" ht="15.6" x14ac:dyDescent="0.3">
      <c r="A231" s="1">
        <v>58.58</v>
      </c>
      <c r="B231" s="1">
        <v>39.31</v>
      </c>
    </row>
    <row r="232" spans="1:2" ht="15.6" x14ac:dyDescent="0.3">
      <c r="A232" s="1">
        <v>37.159999999999997</v>
      </c>
      <c r="B232" s="1">
        <v>47.97</v>
      </c>
    </row>
    <row r="233" spans="1:2" ht="15.6" x14ac:dyDescent="0.3">
      <c r="A233" s="1">
        <v>54.45</v>
      </c>
      <c r="B233" s="1">
        <v>37.369999999999997</v>
      </c>
    </row>
    <row r="234" spans="1:2" ht="15.6" x14ac:dyDescent="0.3">
      <c r="A234" s="1">
        <v>63.72</v>
      </c>
      <c r="B234" s="1">
        <v>35.380000000000003</v>
      </c>
    </row>
    <row r="235" spans="1:2" ht="15.6" x14ac:dyDescent="0.3">
      <c r="A235" s="1">
        <v>33.46</v>
      </c>
      <c r="B235" s="1">
        <v>71.81</v>
      </c>
    </row>
    <row r="236" spans="1:2" ht="15.6" x14ac:dyDescent="0.3">
      <c r="A236" s="1">
        <v>28.63</v>
      </c>
      <c r="B236" s="1">
        <v>6.13</v>
      </c>
    </row>
    <row r="237" spans="1:2" ht="15.6" x14ac:dyDescent="0.3">
      <c r="A237" s="1">
        <v>34.56</v>
      </c>
      <c r="B237" s="1">
        <v>31.15</v>
      </c>
    </row>
    <row r="238" spans="1:2" ht="15.6" x14ac:dyDescent="0.3">
      <c r="A238" s="1">
        <v>53.28</v>
      </c>
      <c r="B238" s="1">
        <v>10.55</v>
      </c>
    </row>
    <row r="239" spans="1:2" ht="15.6" x14ac:dyDescent="0.3">
      <c r="A239" s="1">
        <v>55.99</v>
      </c>
      <c r="B239" s="1">
        <v>29.45</v>
      </c>
    </row>
    <row r="240" spans="1:2" ht="15.6" x14ac:dyDescent="0.3">
      <c r="A240" s="1">
        <v>25.1</v>
      </c>
      <c r="B240" s="1">
        <v>17.829999999999998</v>
      </c>
    </row>
    <row r="241" spans="1:2" ht="15.6" x14ac:dyDescent="0.3">
      <c r="A241" s="1">
        <v>83.46</v>
      </c>
      <c r="B241" s="1">
        <v>11.43</v>
      </c>
    </row>
    <row r="242" spans="1:2" ht="15.6" x14ac:dyDescent="0.3">
      <c r="A242" s="1">
        <v>18.940000000000001</v>
      </c>
      <c r="B242" s="1">
        <v>52.15</v>
      </c>
    </row>
    <row r="243" spans="1:2" ht="15.6" x14ac:dyDescent="0.3">
      <c r="A243" s="1">
        <v>10.24</v>
      </c>
      <c r="B243" s="1">
        <v>30.22</v>
      </c>
    </row>
    <row r="244" spans="1:2" ht="15.6" x14ac:dyDescent="0.3">
      <c r="A244" s="1">
        <v>15.79</v>
      </c>
      <c r="B244" s="1">
        <v>26.9</v>
      </c>
    </row>
    <row r="245" spans="1:2" ht="15.6" x14ac:dyDescent="0.3">
      <c r="A245" s="1">
        <v>30.76</v>
      </c>
      <c r="B245" s="1">
        <v>58.73</v>
      </c>
    </row>
    <row r="246" spans="1:2" ht="15.6" x14ac:dyDescent="0.3">
      <c r="A246" s="1">
        <v>13.78</v>
      </c>
      <c r="B246" s="1">
        <v>34.840000000000003</v>
      </c>
    </row>
    <row r="247" spans="1:2" ht="15.6" x14ac:dyDescent="0.3">
      <c r="A247" s="1">
        <v>75.88</v>
      </c>
      <c r="B247" s="1">
        <v>23.05</v>
      </c>
    </row>
    <row r="248" spans="1:2" ht="15.6" x14ac:dyDescent="0.3">
      <c r="A248" s="1">
        <v>43.46</v>
      </c>
      <c r="B248" s="1">
        <v>48.45</v>
      </c>
    </row>
    <row r="249" spans="1:2" ht="15.6" x14ac:dyDescent="0.3">
      <c r="A249" s="1">
        <v>76.66</v>
      </c>
      <c r="B249" s="1">
        <v>40.89</v>
      </c>
    </row>
    <row r="250" spans="1:2" ht="15.6" x14ac:dyDescent="0.3">
      <c r="A250" s="1">
        <v>57.22</v>
      </c>
      <c r="B250" s="1">
        <v>53.08</v>
      </c>
    </row>
    <row r="251" spans="1:2" ht="15.6" x14ac:dyDescent="0.3">
      <c r="A251" s="1">
        <v>58.95</v>
      </c>
      <c r="B251" s="1">
        <v>23.43</v>
      </c>
    </row>
    <row r="252" spans="1:2" ht="15.6" x14ac:dyDescent="0.3">
      <c r="A252" s="1">
        <v>62.26</v>
      </c>
      <c r="B252" s="1">
        <v>49.82</v>
      </c>
    </row>
    <row r="253" spans="1:2" ht="15.6" x14ac:dyDescent="0.3">
      <c r="A253" s="1">
        <v>79.88</v>
      </c>
      <c r="B253" s="1">
        <v>24.67</v>
      </c>
    </row>
    <row r="254" spans="1:2" ht="15.6" x14ac:dyDescent="0.3">
      <c r="A254" s="1">
        <v>15.48</v>
      </c>
      <c r="B254" s="1">
        <v>12.31</v>
      </c>
    </row>
    <row r="255" spans="1:2" ht="15.6" x14ac:dyDescent="0.3">
      <c r="A255" s="1">
        <v>71.41</v>
      </c>
      <c r="B255" s="1">
        <v>75.31</v>
      </c>
    </row>
    <row r="256" spans="1:2" ht="15.6" x14ac:dyDescent="0.3">
      <c r="A256" s="1">
        <v>41.31</v>
      </c>
      <c r="B256" s="1">
        <v>62.79</v>
      </c>
    </row>
    <row r="257" spans="1:2" ht="15.6" x14ac:dyDescent="0.3">
      <c r="A257" s="1">
        <v>23.47</v>
      </c>
      <c r="B257" s="1">
        <v>48.66</v>
      </c>
    </row>
    <row r="258" spans="1:2" ht="15.6" x14ac:dyDescent="0.3">
      <c r="A258" s="1">
        <v>87.61</v>
      </c>
      <c r="B258" s="1">
        <v>61.65</v>
      </c>
    </row>
    <row r="259" spans="1:2" ht="15.6" x14ac:dyDescent="0.3">
      <c r="A259" s="1">
        <v>19.02</v>
      </c>
      <c r="B259" s="1">
        <v>23.67</v>
      </c>
    </row>
    <row r="260" spans="1:2" ht="15.6" x14ac:dyDescent="0.3">
      <c r="A260" s="1">
        <v>59.4</v>
      </c>
      <c r="B260" s="1">
        <v>8.6199999999999992</v>
      </c>
    </row>
    <row r="261" spans="1:2" ht="15.6" x14ac:dyDescent="0.3">
      <c r="A261" s="1">
        <v>49.39</v>
      </c>
      <c r="B261" s="1">
        <v>34.840000000000003</v>
      </c>
    </row>
    <row r="262" spans="1:2" ht="15.6" x14ac:dyDescent="0.3">
      <c r="A262" s="1">
        <v>25.59</v>
      </c>
      <c r="B262" s="1">
        <v>41.77</v>
      </c>
    </row>
    <row r="263" spans="1:2" ht="15.6" x14ac:dyDescent="0.3">
      <c r="A263" s="1">
        <v>76.42</v>
      </c>
      <c r="B263" s="1">
        <v>9.01</v>
      </c>
    </row>
    <row r="264" spans="1:2" ht="15.6" x14ac:dyDescent="0.3">
      <c r="A264" s="1">
        <v>57.73</v>
      </c>
      <c r="B264" s="1">
        <v>9.2100000000000009</v>
      </c>
    </row>
    <row r="265" spans="1:2" ht="15.6" x14ac:dyDescent="0.3">
      <c r="A265" s="1">
        <v>54.57</v>
      </c>
      <c r="B265" s="1">
        <v>14.87</v>
      </c>
    </row>
    <row r="266" spans="1:2" ht="15.6" x14ac:dyDescent="0.3">
      <c r="A266" s="1">
        <v>46.87</v>
      </c>
      <c r="B266" s="1">
        <v>30.75</v>
      </c>
    </row>
    <row r="267" spans="1:2" ht="15.6" x14ac:dyDescent="0.3">
      <c r="A267" s="1">
        <v>45.1</v>
      </c>
      <c r="B267" s="1">
        <v>26.31</v>
      </c>
    </row>
    <row r="268" spans="1:2" ht="15.6" x14ac:dyDescent="0.3">
      <c r="A268" s="1">
        <v>26.42</v>
      </c>
      <c r="B268" s="1">
        <v>78.17</v>
      </c>
    </row>
    <row r="269" spans="1:2" ht="15.6" x14ac:dyDescent="0.3">
      <c r="A269" s="1">
        <v>46.4</v>
      </c>
      <c r="B269" s="1">
        <v>21.99</v>
      </c>
    </row>
    <row r="270" spans="1:2" ht="15.6" x14ac:dyDescent="0.3">
      <c r="A270" s="1">
        <v>22.73</v>
      </c>
      <c r="B270" s="1">
        <v>50.24</v>
      </c>
    </row>
    <row r="271" spans="1:2" ht="15.6" x14ac:dyDescent="0.3">
      <c r="A271" s="1">
        <v>86.1</v>
      </c>
      <c r="B271" s="1">
        <v>41.16</v>
      </c>
    </row>
    <row r="272" spans="1:2" ht="15.6" x14ac:dyDescent="0.3">
      <c r="A272" s="1">
        <v>18.27</v>
      </c>
      <c r="B272" s="1">
        <v>18.07</v>
      </c>
    </row>
    <row r="273" spans="1:2" ht="15.6" x14ac:dyDescent="0.3">
      <c r="A273" s="1">
        <v>36.44</v>
      </c>
      <c r="B273" s="1">
        <v>57.3</v>
      </c>
    </row>
    <row r="274" spans="1:2" ht="15.6" x14ac:dyDescent="0.3">
      <c r="A274" s="1">
        <v>69.66</v>
      </c>
      <c r="B274" s="1">
        <v>27.63</v>
      </c>
    </row>
    <row r="275" spans="1:2" ht="15.6" x14ac:dyDescent="0.3">
      <c r="A275" s="1">
        <v>61.62</v>
      </c>
      <c r="B275" s="1">
        <v>27.03</v>
      </c>
    </row>
    <row r="276" spans="1:2" ht="15.6" x14ac:dyDescent="0.3">
      <c r="A276" s="1">
        <v>10.28</v>
      </c>
      <c r="B276" s="1">
        <v>39.78</v>
      </c>
    </row>
    <row r="277" spans="1:2" ht="15.6" x14ac:dyDescent="0.3">
      <c r="A277" s="1">
        <v>45.35</v>
      </c>
      <c r="B277" s="1">
        <v>78.06</v>
      </c>
    </row>
    <row r="278" spans="1:2" ht="15.6" x14ac:dyDescent="0.3">
      <c r="A278" s="1">
        <v>67.77</v>
      </c>
      <c r="B278" s="1">
        <v>77</v>
      </c>
    </row>
    <row r="279" spans="1:2" ht="15.6" x14ac:dyDescent="0.3">
      <c r="A279" s="1">
        <v>38.53</v>
      </c>
      <c r="B279" s="1">
        <v>27.39</v>
      </c>
    </row>
    <row r="280" spans="1:2" ht="15.6" x14ac:dyDescent="0.3">
      <c r="A280" s="1">
        <v>18.41</v>
      </c>
      <c r="B280" s="1">
        <v>10.69</v>
      </c>
    </row>
    <row r="281" spans="1:2" ht="15.6" x14ac:dyDescent="0.3">
      <c r="A281" s="1">
        <v>16.920000000000002</v>
      </c>
      <c r="B281" s="1">
        <v>71.13</v>
      </c>
    </row>
    <row r="282" spans="1:2" ht="15.6" x14ac:dyDescent="0.3">
      <c r="A282" s="1">
        <v>76.66</v>
      </c>
      <c r="B282" s="1">
        <v>36.47</v>
      </c>
    </row>
    <row r="283" spans="1:2" ht="15.6" x14ac:dyDescent="0.3">
      <c r="A283" s="1">
        <v>74.510000000000005</v>
      </c>
      <c r="B283" s="1">
        <v>12.81</v>
      </c>
    </row>
    <row r="284" spans="1:2" ht="15.6" x14ac:dyDescent="0.3">
      <c r="A284" s="1">
        <v>56.24</v>
      </c>
      <c r="B284" s="1">
        <v>12.24</v>
      </c>
    </row>
    <row r="285" spans="1:2" ht="15.6" x14ac:dyDescent="0.3">
      <c r="A285" s="1">
        <v>57.91</v>
      </c>
      <c r="B285" s="1">
        <v>12.91</v>
      </c>
    </row>
    <row r="286" spans="1:2" ht="15.6" x14ac:dyDescent="0.3">
      <c r="A286" s="1">
        <v>64</v>
      </c>
      <c r="B286" s="1">
        <v>70.08</v>
      </c>
    </row>
    <row r="287" spans="1:2" ht="15.6" x14ac:dyDescent="0.3">
      <c r="A287" s="1">
        <v>49.57</v>
      </c>
      <c r="B287" s="1">
        <v>31.52</v>
      </c>
    </row>
    <row r="288" spans="1:2" ht="15.6" x14ac:dyDescent="0.3">
      <c r="A288" s="1">
        <v>23.25</v>
      </c>
      <c r="B288" s="1">
        <v>47.22</v>
      </c>
    </row>
    <row r="289" spans="1:2" ht="15.6" x14ac:dyDescent="0.3">
      <c r="A289" s="1">
        <v>87.53</v>
      </c>
      <c r="B289" s="1">
        <v>70.52</v>
      </c>
    </row>
    <row r="290" spans="1:2" ht="15.6" x14ac:dyDescent="0.3">
      <c r="A290" s="1">
        <v>76.430000000000007</v>
      </c>
      <c r="B290" s="1">
        <v>73.63</v>
      </c>
    </row>
    <row r="291" spans="1:2" ht="15.6" x14ac:dyDescent="0.3">
      <c r="A291" s="1">
        <v>30.82</v>
      </c>
      <c r="B291" s="1">
        <v>35.67</v>
      </c>
    </row>
    <row r="292" spans="1:2" ht="15.6" x14ac:dyDescent="0.3">
      <c r="A292" s="1">
        <v>36.46</v>
      </c>
      <c r="B292" s="1">
        <v>66.16</v>
      </c>
    </row>
    <row r="293" spans="1:2" ht="15.6" x14ac:dyDescent="0.3">
      <c r="A293" s="1">
        <v>53.51</v>
      </c>
      <c r="B293" s="1">
        <v>35.630000000000003</v>
      </c>
    </row>
    <row r="294" spans="1:2" ht="15.6" x14ac:dyDescent="0.3">
      <c r="A294" s="1">
        <v>86.43</v>
      </c>
      <c r="B294" s="1">
        <v>34.61</v>
      </c>
    </row>
    <row r="295" spans="1:2" ht="15.6" x14ac:dyDescent="0.3">
      <c r="A295" s="1">
        <v>44.02</v>
      </c>
      <c r="B295" s="1">
        <v>60.37</v>
      </c>
    </row>
    <row r="296" spans="1:2" ht="15.6" x14ac:dyDescent="0.3">
      <c r="A296" s="1">
        <v>60.61</v>
      </c>
      <c r="B296" s="1">
        <v>75.62</v>
      </c>
    </row>
    <row r="297" spans="1:2" ht="15.6" x14ac:dyDescent="0.3">
      <c r="A297" s="1">
        <v>64.13</v>
      </c>
      <c r="B297" s="1">
        <v>18.670000000000002</v>
      </c>
    </row>
    <row r="298" spans="1:2" ht="15.6" x14ac:dyDescent="0.3">
      <c r="A298" s="1">
        <v>11.99</v>
      </c>
      <c r="B298" s="1">
        <v>6.12</v>
      </c>
    </row>
    <row r="299" spans="1:2" ht="15.6" x14ac:dyDescent="0.3">
      <c r="A299" s="1">
        <v>37.729999999999997</v>
      </c>
      <c r="B299" s="1">
        <v>29.66</v>
      </c>
    </row>
    <row r="300" spans="1:2" ht="15.6" x14ac:dyDescent="0.3">
      <c r="A300" s="1">
        <v>78.63</v>
      </c>
      <c r="B300" s="1">
        <v>77.16</v>
      </c>
    </row>
    <row r="301" spans="1:2" ht="15.6" x14ac:dyDescent="0.3">
      <c r="A301" s="1">
        <v>56.8</v>
      </c>
      <c r="B301" s="1">
        <v>50.16</v>
      </c>
    </row>
    <row r="302" spans="1:2" ht="15.6" x14ac:dyDescent="0.3">
      <c r="A302" s="1">
        <v>24</v>
      </c>
      <c r="B302" s="1">
        <v>72.73</v>
      </c>
    </row>
    <row r="303" spans="1:2" ht="15.6" x14ac:dyDescent="0.3">
      <c r="A303" s="1">
        <v>38.549999999999997</v>
      </c>
      <c r="B303" s="1">
        <v>22.5</v>
      </c>
    </row>
    <row r="304" spans="1:2" ht="15.6" x14ac:dyDescent="0.3">
      <c r="A304" s="1">
        <v>41.72</v>
      </c>
      <c r="B304" s="1">
        <v>16.63</v>
      </c>
    </row>
    <row r="305" spans="1:2" ht="15.6" x14ac:dyDescent="0.3">
      <c r="A305" s="1">
        <v>59.66</v>
      </c>
      <c r="B305" s="1">
        <v>78.930000000000007</v>
      </c>
    </row>
    <row r="306" spans="1:2" ht="15.6" x14ac:dyDescent="0.3">
      <c r="A306" s="1">
        <v>59.88</v>
      </c>
      <c r="B306" s="1">
        <v>69.17</v>
      </c>
    </row>
    <row r="307" spans="1:2" ht="15.6" x14ac:dyDescent="0.3">
      <c r="A307" s="1">
        <v>54.44</v>
      </c>
      <c r="B307" s="1">
        <v>49.35</v>
      </c>
    </row>
    <row r="308" spans="1:2" ht="15.6" x14ac:dyDescent="0.3">
      <c r="A308" s="1">
        <v>84.36</v>
      </c>
      <c r="B308" s="1">
        <v>20.41</v>
      </c>
    </row>
    <row r="309" spans="1:2" ht="15.6" x14ac:dyDescent="0.3">
      <c r="A309" s="1">
        <v>71.650000000000006</v>
      </c>
      <c r="B309" s="1">
        <v>23.08</v>
      </c>
    </row>
    <row r="310" spans="1:2" ht="15.6" x14ac:dyDescent="0.3">
      <c r="A310" s="1">
        <v>80.290000000000006</v>
      </c>
      <c r="B310" s="1">
        <v>8.02</v>
      </c>
    </row>
    <row r="311" spans="1:2" ht="15.6" x14ac:dyDescent="0.3">
      <c r="A311" s="1">
        <v>47.21</v>
      </c>
      <c r="B311" s="1">
        <v>67.42</v>
      </c>
    </row>
    <row r="312" spans="1:2" ht="15.6" x14ac:dyDescent="0.3">
      <c r="A312" s="1">
        <v>14.74</v>
      </c>
      <c r="B312" s="1">
        <v>73.599999999999994</v>
      </c>
    </row>
    <row r="313" spans="1:2" ht="15.6" x14ac:dyDescent="0.3">
      <c r="A313" s="1">
        <v>71.900000000000006</v>
      </c>
      <c r="B313" s="1">
        <v>77.63</v>
      </c>
    </row>
    <row r="314" spans="1:2" ht="15.6" x14ac:dyDescent="0.3">
      <c r="A314" s="1">
        <v>58.42</v>
      </c>
      <c r="B314" s="1">
        <v>62.24</v>
      </c>
    </row>
    <row r="315" spans="1:2" ht="15.6" x14ac:dyDescent="0.3">
      <c r="A315" s="1">
        <v>36.229999999999997</v>
      </c>
      <c r="B315" s="1">
        <v>56.33</v>
      </c>
    </row>
    <row r="316" spans="1:2" ht="15.6" x14ac:dyDescent="0.3">
      <c r="A316" s="1">
        <v>23.01</v>
      </c>
      <c r="B316" s="1">
        <v>33.14</v>
      </c>
    </row>
    <row r="317" spans="1:2" ht="15.6" x14ac:dyDescent="0.3">
      <c r="A317" s="1">
        <v>59.96</v>
      </c>
      <c r="B317" s="1">
        <v>53.36</v>
      </c>
    </row>
    <row r="318" spans="1:2" ht="15.6" x14ac:dyDescent="0.3">
      <c r="A318" s="1">
        <v>63.86</v>
      </c>
      <c r="B318" s="1">
        <v>56.47</v>
      </c>
    </row>
    <row r="319" spans="1:2" ht="15.6" x14ac:dyDescent="0.3">
      <c r="A319" s="1">
        <v>89.47</v>
      </c>
      <c r="B319" s="1">
        <v>25.73</v>
      </c>
    </row>
    <row r="320" spans="1:2" ht="15.6" x14ac:dyDescent="0.3">
      <c r="A320" s="1">
        <v>17.18</v>
      </c>
      <c r="B320" s="1">
        <v>24.76</v>
      </c>
    </row>
    <row r="321" spans="1:2" ht="15.6" x14ac:dyDescent="0.3">
      <c r="A321" s="1">
        <v>87</v>
      </c>
      <c r="B321" s="1">
        <v>72.09</v>
      </c>
    </row>
    <row r="322" spans="1:2" ht="15.6" x14ac:dyDescent="0.3">
      <c r="A322" s="1">
        <v>41.41</v>
      </c>
      <c r="B322" s="1">
        <v>9.1199999999999992</v>
      </c>
    </row>
    <row r="323" spans="1:2" ht="15.6" x14ac:dyDescent="0.3">
      <c r="A323" s="1">
        <v>31.41</v>
      </c>
      <c r="B323" s="1">
        <v>79.989999999999995</v>
      </c>
    </row>
    <row r="324" spans="1:2" ht="15.6" x14ac:dyDescent="0.3">
      <c r="A324" s="1">
        <v>87.51</v>
      </c>
      <c r="B324" s="1">
        <v>75.16</v>
      </c>
    </row>
    <row r="325" spans="1:2" ht="15.6" x14ac:dyDescent="0.3">
      <c r="A325" s="1">
        <v>48.35</v>
      </c>
      <c r="B325" s="1">
        <v>60.57</v>
      </c>
    </row>
    <row r="326" spans="1:2" ht="15.6" x14ac:dyDescent="0.3">
      <c r="A326" s="1">
        <v>65.989999999999995</v>
      </c>
      <c r="B326" s="1">
        <v>29.93</v>
      </c>
    </row>
    <row r="327" spans="1:2" ht="15.6" x14ac:dyDescent="0.3">
      <c r="A327" s="1">
        <v>26.65</v>
      </c>
      <c r="B327" s="1">
        <v>56.91</v>
      </c>
    </row>
    <row r="328" spans="1:2" ht="15.6" x14ac:dyDescent="0.3">
      <c r="A328" s="1">
        <v>12.3</v>
      </c>
      <c r="B328" s="1">
        <v>60.13</v>
      </c>
    </row>
    <row r="329" spans="1:2" ht="15.6" x14ac:dyDescent="0.3">
      <c r="A329" s="1">
        <v>59.4</v>
      </c>
      <c r="B329" s="1">
        <v>15.72</v>
      </c>
    </row>
    <row r="330" spans="1:2" ht="15.6" x14ac:dyDescent="0.3">
      <c r="A330" s="1">
        <v>28.54</v>
      </c>
      <c r="B330" s="1">
        <v>49.42</v>
      </c>
    </row>
    <row r="331" spans="1:2" ht="15.6" x14ac:dyDescent="0.3">
      <c r="A331" s="1">
        <v>39.94</v>
      </c>
      <c r="B331" s="1">
        <v>27.62</v>
      </c>
    </row>
    <row r="332" spans="1:2" ht="15.6" x14ac:dyDescent="0.3">
      <c r="A332" s="1">
        <v>69.010000000000005</v>
      </c>
      <c r="B332" s="1">
        <v>75.87</v>
      </c>
    </row>
    <row r="333" spans="1:2" ht="15.6" x14ac:dyDescent="0.3">
      <c r="A333" s="1">
        <v>78.510000000000005</v>
      </c>
      <c r="B333" s="1">
        <v>49.71</v>
      </c>
    </row>
    <row r="334" spans="1:2" ht="15.6" x14ac:dyDescent="0.3">
      <c r="A334" s="1">
        <v>89.74</v>
      </c>
      <c r="B334" s="1">
        <v>44.77</v>
      </c>
    </row>
    <row r="335" spans="1:2" ht="15.6" x14ac:dyDescent="0.3">
      <c r="A335" s="1">
        <v>25.19</v>
      </c>
      <c r="B335" s="1">
        <v>69.14</v>
      </c>
    </row>
    <row r="336" spans="1:2" ht="15.6" x14ac:dyDescent="0.3">
      <c r="A336" s="1">
        <v>77.83</v>
      </c>
      <c r="B336" s="1">
        <v>31.46</v>
      </c>
    </row>
    <row r="337" spans="1:2" ht="15.6" x14ac:dyDescent="0.3">
      <c r="A337" s="1">
        <v>56.82</v>
      </c>
      <c r="B337" s="1">
        <v>19.329999999999998</v>
      </c>
    </row>
    <row r="338" spans="1:2" ht="15.6" x14ac:dyDescent="0.3">
      <c r="A338" s="1">
        <v>21.15</v>
      </c>
      <c r="B338" s="1">
        <v>59.94</v>
      </c>
    </row>
    <row r="339" spans="1:2" ht="15.6" x14ac:dyDescent="0.3">
      <c r="A339" s="1">
        <v>16.97</v>
      </c>
      <c r="B339" s="1">
        <v>9.06</v>
      </c>
    </row>
    <row r="340" spans="1:2" ht="15.6" x14ac:dyDescent="0.3">
      <c r="A340" s="1">
        <v>19.510000000000002</v>
      </c>
      <c r="B340" s="1">
        <v>68.47</v>
      </c>
    </row>
    <row r="341" spans="1:2" ht="15.6" x14ac:dyDescent="0.3">
      <c r="A341" s="1">
        <v>29.38</v>
      </c>
      <c r="B341" s="1">
        <v>30.56</v>
      </c>
    </row>
    <row r="342" spans="1:2" ht="15.6" x14ac:dyDescent="0.3">
      <c r="A342" s="1">
        <v>43.96</v>
      </c>
      <c r="B342" s="1">
        <v>69.67</v>
      </c>
    </row>
    <row r="343" spans="1:2" ht="15.6" x14ac:dyDescent="0.3">
      <c r="A343" s="1">
        <v>83.03</v>
      </c>
      <c r="B343" s="1">
        <v>41.1</v>
      </c>
    </row>
    <row r="344" spans="1:2" ht="15.6" x14ac:dyDescent="0.3">
      <c r="A344" s="1">
        <v>41.77</v>
      </c>
      <c r="B344" s="1">
        <v>61.71</v>
      </c>
    </row>
    <row r="345" spans="1:2" ht="15.6" x14ac:dyDescent="0.3">
      <c r="A345" s="1">
        <v>61.65</v>
      </c>
      <c r="B345" s="1">
        <v>36.630000000000003</v>
      </c>
    </row>
    <row r="346" spans="1:2" ht="15.6" x14ac:dyDescent="0.3">
      <c r="A346" s="1">
        <v>11.75</v>
      </c>
      <c r="B346" s="1">
        <v>64.83</v>
      </c>
    </row>
    <row r="347" spans="1:2" ht="15.6" x14ac:dyDescent="0.3">
      <c r="A347" s="1">
        <v>17.239999999999998</v>
      </c>
      <c r="B347" s="1">
        <v>47.62</v>
      </c>
    </row>
    <row r="348" spans="1:2" ht="15.6" x14ac:dyDescent="0.3">
      <c r="A348" s="1">
        <v>76.31</v>
      </c>
      <c r="B348" s="1">
        <v>53.5</v>
      </c>
    </row>
    <row r="349" spans="1:2" ht="15.6" x14ac:dyDescent="0.3">
      <c r="A349" s="1">
        <v>21.67</v>
      </c>
      <c r="B349" s="1">
        <v>20.14</v>
      </c>
    </row>
    <row r="350" spans="1:2" ht="15.6" x14ac:dyDescent="0.3">
      <c r="A350" s="1">
        <v>12.48</v>
      </c>
      <c r="B350" s="1">
        <v>63.85</v>
      </c>
    </row>
    <row r="351" spans="1:2" ht="15.6" x14ac:dyDescent="0.3">
      <c r="A351" s="1">
        <v>71.37</v>
      </c>
      <c r="B351" s="1">
        <v>78.16</v>
      </c>
    </row>
    <row r="352" spans="1:2" ht="15.6" x14ac:dyDescent="0.3">
      <c r="A352" s="1">
        <v>26.3</v>
      </c>
      <c r="B352" s="1">
        <v>70.33</v>
      </c>
    </row>
    <row r="353" spans="1:2" ht="15.6" x14ac:dyDescent="0.3">
      <c r="A353" s="1">
        <v>45.18</v>
      </c>
      <c r="B353" s="1">
        <v>5.16</v>
      </c>
    </row>
    <row r="354" spans="1:2" ht="15.6" x14ac:dyDescent="0.3">
      <c r="A354" s="1">
        <v>36.51</v>
      </c>
      <c r="B354" s="1">
        <v>37.44</v>
      </c>
    </row>
    <row r="355" spans="1:2" ht="15.6" x14ac:dyDescent="0.3">
      <c r="A355" s="1">
        <v>47.51</v>
      </c>
      <c r="B355" s="1">
        <v>35.659999999999997</v>
      </c>
    </row>
    <row r="356" spans="1:2" ht="15.6" x14ac:dyDescent="0.3">
      <c r="A356" s="1">
        <v>54.18</v>
      </c>
      <c r="B356" s="1">
        <v>27.33</v>
      </c>
    </row>
    <row r="357" spans="1:2" ht="15.6" x14ac:dyDescent="0.3">
      <c r="A357" s="1">
        <v>28.35</v>
      </c>
      <c r="B357" s="1">
        <v>60.46</v>
      </c>
    </row>
    <row r="358" spans="1:2" ht="15.6" x14ac:dyDescent="0.3">
      <c r="A358" s="1">
        <v>79.260000000000005</v>
      </c>
      <c r="B358" s="1">
        <v>18.78</v>
      </c>
    </row>
    <row r="359" spans="1:2" ht="15.6" x14ac:dyDescent="0.3">
      <c r="A359" s="1">
        <v>17.82</v>
      </c>
      <c r="B359" s="1">
        <v>76.05</v>
      </c>
    </row>
    <row r="360" spans="1:2" ht="15.6" x14ac:dyDescent="0.3">
      <c r="A360" s="1">
        <v>27.44</v>
      </c>
      <c r="B360" s="1">
        <v>54.71</v>
      </c>
    </row>
    <row r="361" spans="1:2" ht="15.6" x14ac:dyDescent="0.3">
      <c r="A361" s="1">
        <v>21.02</v>
      </c>
      <c r="B361" s="1">
        <v>44.4</v>
      </c>
    </row>
    <row r="362" spans="1:2" ht="15.6" x14ac:dyDescent="0.3">
      <c r="A362" s="1">
        <v>69.349999999999994</v>
      </c>
      <c r="B362" s="1">
        <v>18.86</v>
      </c>
    </row>
    <row r="363" spans="1:2" ht="15.6" x14ac:dyDescent="0.3">
      <c r="A363" s="1">
        <v>62.24</v>
      </c>
      <c r="B363" s="1">
        <v>64.81</v>
      </c>
    </row>
    <row r="364" spans="1:2" ht="15.6" x14ac:dyDescent="0.3">
      <c r="A364" s="1">
        <v>18.62</v>
      </c>
      <c r="B364" s="1">
        <v>71.22</v>
      </c>
    </row>
    <row r="365" spans="1:2" ht="15.6" x14ac:dyDescent="0.3">
      <c r="A365" s="1">
        <v>48.8</v>
      </c>
      <c r="B365" s="1">
        <v>25.82</v>
      </c>
    </row>
    <row r="366" spans="1:2" ht="15.6" x14ac:dyDescent="0.3">
      <c r="A366" s="1">
        <v>79.84</v>
      </c>
      <c r="B366" s="1">
        <v>19.940000000000001</v>
      </c>
    </row>
    <row r="367" spans="1:2" ht="15.6" x14ac:dyDescent="0.3">
      <c r="A367" s="1">
        <v>43.12</v>
      </c>
      <c r="B367" s="1">
        <v>37.42</v>
      </c>
    </row>
    <row r="368" spans="1:2" ht="15.6" x14ac:dyDescent="0.3">
      <c r="A368" s="1">
        <v>20.91</v>
      </c>
      <c r="B368" s="1">
        <v>79.66</v>
      </c>
    </row>
    <row r="369" spans="1:2" ht="15.6" x14ac:dyDescent="0.3">
      <c r="A369" s="1">
        <v>53.48</v>
      </c>
      <c r="B369" s="1">
        <v>6.27</v>
      </c>
    </row>
    <row r="370" spans="1:2" ht="15.6" x14ac:dyDescent="0.3">
      <c r="A370" s="1">
        <v>17.829999999999998</v>
      </c>
      <c r="B370" s="1">
        <v>24.62</v>
      </c>
    </row>
    <row r="371" spans="1:2" ht="15.6" x14ac:dyDescent="0.3">
      <c r="A371" s="1">
        <v>84.81</v>
      </c>
      <c r="B371" s="1">
        <v>73.64</v>
      </c>
    </row>
    <row r="372" spans="1:2" ht="15.6" x14ac:dyDescent="0.3">
      <c r="A372" s="1">
        <v>56.45</v>
      </c>
      <c r="B372" s="1">
        <v>73.22</v>
      </c>
    </row>
    <row r="373" spans="1:2" ht="15.6" x14ac:dyDescent="0.3">
      <c r="A373" s="1">
        <v>22.35</v>
      </c>
      <c r="B373" s="1">
        <v>18.3</v>
      </c>
    </row>
    <row r="374" spans="1:2" ht="15.6" x14ac:dyDescent="0.3">
      <c r="A374" s="1">
        <v>69.930000000000007</v>
      </c>
      <c r="B374" s="1">
        <v>11.18</v>
      </c>
    </row>
    <row r="375" spans="1:2" ht="15.6" x14ac:dyDescent="0.3">
      <c r="A375" s="1">
        <v>80.61</v>
      </c>
      <c r="B375" s="1">
        <v>22.31</v>
      </c>
    </row>
    <row r="376" spans="1:2" ht="15.6" x14ac:dyDescent="0.3">
      <c r="A376" s="1">
        <v>78.150000000000006</v>
      </c>
      <c r="B376" s="1">
        <v>62.71</v>
      </c>
    </row>
    <row r="377" spans="1:2" ht="15.6" x14ac:dyDescent="0.3">
      <c r="A377" s="1">
        <v>34.83</v>
      </c>
      <c r="B377" s="1">
        <v>66.14</v>
      </c>
    </row>
    <row r="378" spans="1:2" ht="15.6" x14ac:dyDescent="0.3">
      <c r="A378" s="1">
        <v>27.6</v>
      </c>
      <c r="B378" s="1">
        <v>25.74</v>
      </c>
    </row>
    <row r="379" spans="1:2" ht="15.6" x14ac:dyDescent="0.3">
      <c r="A379" s="1">
        <v>35.79</v>
      </c>
      <c r="B379" s="1">
        <v>73.77</v>
      </c>
    </row>
    <row r="380" spans="1:2" ht="15.6" x14ac:dyDescent="0.3">
      <c r="A380" s="1">
        <v>53.68</v>
      </c>
      <c r="B380" s="1">
        <v>51.14</v>
      </c>
    </row>
    <row r="381" spans="1:2" ht="15.6" x14ac:dyDescent="0.3">
      <c r="A381" s="1">
        <v>45.88</v>
      </c>
      <c r="B381" s="1">
        <v>46.77</v>
      </c>
    </row>
    <row r="382" spans="1:2" ht="15.6" x14ac:dyDescent="0.3">
      <c r="A382" s="1">
        <v>53.45</v>
      </c>
      <c r="B382" s="1">
        <v>16.87</v>
      </c>
    </row>
    <row r="383" spans="1:2" ht="15.6" x14ac:dyDescent="0.3">
      <c r="A383" s="1">
        <v>66.489999999999995</v>
      </c>
      <c r="B383" s="1">
        <v>77.819999999999993</v>
      </c>
    </row>
    <row r="384" spans="1:2" ht="15.6" x14ac:dyDescent="0.3">
      <c r="A384" s="1">
        <v>81.83</v>
      </c>
      <c r="B384" s="1">
        <v>49.24</v>
      </c>
    </row>
    <row r="385" spans="1:2" ht="15.6" x14ac:dyDescent="0.3">
      <c r="A385" s="1">
        <v>53.6</v>
      </c>
      <c r="B385" s="1">
        <v>46.29</v>
      </c>
    </row>
    <row r="386" spans="1:2" ht="15.6" x14ac:dyDescent="0.3">
      <c r="A386" s="1">
        <v>37.979999999999997</v>
      </c>
      <c r="B386" s="1">
        <v>20.63</v>
      </c>
    </row>
    <row r="387" spans="1:2" ht="15.6" x14ac:dyDescent="0.3">
      <c r="A387" s="1">
        <v>74.709999999999994</v>
      </c>
      <c r="B387" s="1">
        <v>8.4</v>
      </c>
    </row>
    <row r="388" spans="1:2" ht="15.6" x14ac:dyDescent="0.3">
      <c r="A388" s="1">
        <v>84.23</v>
      </c>
      <c r="B388" s="1">
        <v>16.32</v>
      </c>
    </row>
    <row r="389" spans="1:2" ht="15.6" x14ac:dyDescent="0.3">
      <c r="A389" s="1">
        <v>68.78</v>
      </c>
      <c r="B389" s="1">
        <v>68.55</v>
      </c>
    </row>
    <row r="390" spans="1:2" ht="15.6" x14ac:dyDescent="0.3">
      <c r="A390" s="1">
        <v>66.73</v>
      </c>
      <c r="B390" s="1">
        <v>47.74</v>
      </c>
    </row>
    <row r="391" spans="1:2" ht="15.6" x14ac:dyDescent="0.3">
      <c r="A391" s="1">
        <v>31.33</v>
      </c>
      <c r="B391" s="1">
        <v>58.61</v>
      </c>
    </row>
    <row r="392" spans="1:2" ht="15.6" x14ac:dyDescent="0.3">
      <c r="A392" s="1">
        <v>85.34</v>
      </c>
      <c r="B392" s="1">
        <v>34.08</v>
      </c>
    </row>
    <row r="393" spans="1:2" ht="15.6" x14ac:dyDescent="0.3">
      <c r="A393" s="1">
        <v>51.89</v>
      </c>
      <c r="B393" s="1">
        <v>62.46</v>
      </c>
    </row>
    <row r="394" spans="1:2" ht="15.6" x14ac:dyDescent="0.3">
      <c r="A394" s="1">
        <v>54.82</v>
      </c>
      <c r="B394" s="1">
        <v>73.67</v>
      </c>
    </row>
    <row r="395" spans="1:2" ht="15.6" x14ac:dyDescent="0.3">
      <c r="A395" s="1">
        <v>23.79</v>
      </c>
      <c r="B395" s="1">
        <v>7.11</v>
      </c>
    </row>
    <row r="396" spans="1:2" ht="15.6" x14ac:dyDescent="0.3">
      <c r="A396" s="1">
        <v>46.23</v>
      </c>
      <c r="B396" s="1">
        <v>54.83</v>
      </c>
    </row>
    <row r="397" spans="1:2" ht="15.6" x14ac:dyDescent="0.3">
      <c r="A397" s="1">
        <v>88.65</v>
      </c>
      <c r="B397" s="1">
        <v>20.350000000000001</v>
      </c>
    </row>
    <row r="398" spans="1:2" ht="15.6" x14ac:dyDescent="0.3">
      <c r="A398" s="1">
        <v>80.92</v>
      </c>
      <c r="B398" s="1">
        <v>29.79</v>
      </c>
    </row>
    <row r="399" spans="1:2" ht="15.6" x14ac:dyDescent="0.3">
      <c r="A399" s="1">
        <v>87.27</v>
      </c>
      <c r="B399" s="1">
        <v>37.46</v>
      </c>
    </row>
    <row r="400" spans="1:2" ht="15.6" x14ac:dyDescent="0.3">
      <c r="A400" s="1">
        <v>74.25</v>
      </c>
      <c r="B400" s="1">
        <v>25.44</v>
      </c>
    </row>
    <row r="401" spans="1:2" ht="15.6" x14ac:dyDescent="0.3">
      <c r="A401" s="1">
        <v>46.31</v>
      </c>
      <c r="B401" s="1">
        <v>16.510000000000002</v>
      </c>
    </row>
    <row r="402" spans="1:2" ht="15.6" x14ac:dyDescent="0.3">
      <c r="A402" s="1">
        <v>21.46</v>
      </c>
      <c r="B402" s="1">
        <v>65.930000000000007</v>
      </c>
    </row>
    <row r="403" spans="1:2" ht="15.6" x14ac:dyDescent="0.3">
      <c r="A403" s="1">
        <v>49.17</v>
      </c>
      <c r="B403" s="1">
        <v>13.63</v>
      </c>
    </row>
    <row r="404" spans="1:2" ht="15.6" x14ac:dyDescent="0.3">
      <c r="A404" s="1">
        <v>64.239999999999995</v>
      </c>
      <c r="B404" s="1">
        <v>64.53</v>
      </c>
    </row>
    <row r="405" spans="1:2" ht="15.6" x14ac:dyDescent="0.3">
      <c r="A405" s="1">
        <v>30.26</v>
      </c>
      <c r="B405" s="1">
        <v>67.489999999999995</v>
      </c>
    </row>
    <row r="406" spans="1:2" ht="15.6" x14ac:dyDescent="0.3">
      <c r="A406" s="1">
        <v>46.87</v>
      </c>
      <c r="B406" s="1">
        <v>32.72</v>
      </c>
    </row>
    <row r="407" spans="1:2" ht="15.6" x14ac:dyDescent="0.3">
      <c r="A407" s="1">
        <v>87.63</v>
      </c>
      <c r="B407" s="1">
        <v>35.01</v>
      </c>
    </row>
    <row r="408" spans="1:2" ht="15.6" x14ac:dyDescent="0.3">
      <c r="A408" s="1">
        <v>81.33</v>
      </c>
      <c r="B408" s="1">
        <v>18.59</v>
      </c>
    </row>
    <row r="409" spans="1:2" ht="15.6" x14ac:dyDescent="0.3">
      <c r="A409" s="1">
        <v>57.14</v>
      </c>
      <c r="B409" s="1">
        <v>40.58</v>
      </c>
    </row>
    <row r="410" spans="1:2" ht="15.6" x14ac:dyDescent="0.3">
      <c r="A410" s="1">
        <v>56.19</v>
      </c>
      <c r="B410" s="1">
        <v>35.65</v>
      </c>
    </row>
    <row r="411" spans="1:2" ht="15.6" x14ac:dyDescent="0.3">
      <c r="A411" s="1">
        <v>56.73</v>
      </c>
      <c r="B411" s="1">
        <v>8.3000000000000007</v>
      </c>
    </row>
    <row r="412" spans="1:2" ht="15.6" x14ac:dyDescent="0.3">
      <c r="A412" s="1">
        <v>62.72</v>
      </c>
      <c r="B412" s="1">
        <v>55.65</v>
      </c>
    </row>
    <row r="413" spans="1:2" ht="15.6" x14ac:dyDescent="0.3">
      <c r="A413" s="1">
        <v>19.66</v>
      </c>
      <c r="B413" s="1">
        <v>58.54</v>
      </c>
    </row>
    <row r="414" spans="1:2" ht="15.6" x14ac:dyDescent="0.3">
      <c r="A414" s="1">
        <v>88.11</v>
      </c>
      <c r="B414" s="1">
        <v>35.880000000000003</v>
      </c>
    </row>
    <row r="415" spans="1:2" ht="15.6" x14ac:dyDescent="0.3">
      <c r="A415" s="1">
        <v>52.71</v>
      </c>
      <c r="B415" s="1">
        <v>74.03</v>
      </c>
    </row>
    <row r="416" spans="1:2" ht="15.6" x14ac:dyDescent="0.3">
      <c r="A416" s="1">
        <v>66.06</v>
      </c>
      <c r="B416" s="1">
        <v>68.150000000000006</v>
      </c>
    </row>
    <row r="417" spans="1:2" ht="15.6" x14ac:dyDescent="0.3">
      <c r="A417" s="1">
        <v>39.729999999999997</v>
      </c>
      <c r="B417" s="1">
        <v>33.840000000000003</v>
      </c>
    </row>
    <row r="418" spans="1:2" ht="15.6" x14ac:dyDescent="0.3">
      <c r="A418" s="1">
        <v>15.72</v>
      </c>
      <c r="B418" s="1">
        <v>22.7</v>
      </c>
    </row>
    <row r="419" spans="1:2" ht="15.6" x14ac:dyDescent="0.3">
      <c r="A419" s="1">
        <v>14.05</v>
      </c>
      <c r="B419" s="1">
        <v>31.89</v>
      </c>
    </row>
    <row r="420" spans="1:2" ht="15.6" x14ac:dyDescent="0.3">
      <c r="A420" s="1">
        <v>43.44</v>
      </c>
      <c r="B420" s="1">
        <v>48.22</v>
      </c>
    </row>
    <row r="421" spans="1:2" ht="15.6" x14ac:dyDescent="0.3">
      <c r="A421" s="1">
        <v>62.16</v>
      </c>
      <c r="B421" s="1">
        <v>79.25</v>
      </c>
    </row>
    <row r="422" spans="1:2" ht="15.6" x14ac:dyDescent="0.3">
      <c r="A422" s="1">
        <v>26.67</v>
      </c>
      <c r="B422" s="1">
        <v>31.23</v>
      </c>
    </row>
    <row r="423" spans="1:2" ht="15.6" x14ac:dyDescent="0.3">
      <c r="A423" s="1">
        <v>46.72</v>
      </c>
      <c r="B423" s="1">
        <v>13.31</v>
      </c>
    </row>
    <row r="424" spans="1:2" ht="15.6" x14ac:dyDescent="0.3">
      <c r="A424" s="1">
        <v>78.31</v>
      </c>
      <c r="B424" s="1">
        <v>22.41</v>
      </c>
    </row>
    <row r="425" spans="1:2" ht="15.6" x14ac:dyDescent="0.3">
      <c r="A425" s="1">
        <v>85.2</v>
      </c>
      <c r="B425" s="1">
        <v>72.459999999999994</v>
      </c>
    </row>
    <row r="426" spans="1:2" ht="15.6" x14ac:dyDescent="0.3">
      <c r="A426" s="1">
        <v>21</v>
      </c>
      <c r="B426" s="1">
        <v>26.15</v>
      </c>
    </row>
    <row r="427" spans="1:2" ht="15.6" x14ac:dyDescent="0.3">
      <c r="A427" s="1">
        <v>54.73</v>
      </c>
      <c r="B427" s="1">
        <v>58.57</v>
      </c>
    </row>
    <row r="428" spans="1:2" ht="15.6" x14ac:dyDescent="0.3">
      <c r="A428" s="1">
        <v>49.46</v>
      </c>
      <c r="B428" s="1">
        <v>73.849999999999994</v>
      </c>
    </row>
    <row r="429" spans="1:2" ht="15.6" x14ac:dyDescent="0.3">
      <c r="A429" s="1">
        <v>57.57</v>
      </c>
      <c r="B429" s="1">
        <v>72.31</v>
      </c>
    </row>
    <row r="430" spans="1:2" ht="15.6" x14ac:dyDescent="0.3">
      <c r="A430" s="1">
        <v>48.71</v>
      </c>
      <c r="B430" s="1">
        <v>12.55</v>
      </c>
    </row>
    <row r="431" spans="1:2" ht="15.6" x14ac:dyDescent="0.3">
      <c r="A431" s="1">
        <v>20.14</v>
      </c>
      <c r="B431" s="1">
        <v>25.1</v>
      </c>
    </row>
    <row r="432" spans="1:2" ht="15.6" x14ac:dyDescent="0.3">
      <c r="A432" s="1">
        <v>80.739999999999995</v>
      </c>
      <c r="B432" s="1">
        <v>14.82</v>
      </c>
    </row>
    <row r="433" spans="1:2" ht="15.6" x14ac:dyDescent="0.3">
      <c r="A433" s="1">
        <v>13.15</v>
      </c>
      <c r="B433" s="1">
        <v>56.44</v>
      </c>
    </row>
    <row r="434" spans="1:2" ht="15.6" x14ac:dyDescent="0.3">
      <c r="A434" s="1">
        <v>15.42</v>
      </c>
      <c r="B434" s="1">
        <v>12.58</v>
      </c>
    </row>
    <row r="435" spans="1:2" ht="15.6" x14ac:dyDescent="0.3">
      <c r="A435" s="1">
        <v>75.02</v>
      </c>
      <c r="B435" s="1">
        <v>7.47</v>
      </c>
    </row>
    <row r="436" spans="1:2" ht="15.6" x14ac:dyDescent="0.3">
      <c r="A436" s="1">
        <v>46.76</v>
      </c>
      <c r="B436" s="1">
        <v>20.93</v>
      </c>
    </row>
    <row r="437" spans="1:2" ht="15.6" x14ac:dyDescent="0.3">
      <c r="A437" s="1">
        <v>84.12</v>
      </c>
      <c r="B437" s="1">
        <v>34.770000000000003</v>
      </c>
    </row>
    <row r="438" spans="1:2" ht="15.6" x14ac:dyDescent="0.3">
      <c r="A438" s="1">
        <v>47.1</v>
      </c>
      <c r="B438" s="1">
        <v>33.700000000000003</v>
      </c>
    </row>
    <row r="439" spans="1:2" ht="15.6" x14ac:dyDescent="0.3">
      <c r="A439" s="1">
        <v>88.96</v>
      </c>
      <c r="B439" s="1">
        <v>46.23</v>
      </c>
    </row>
    <row r="440" spans="1:2" ht="15.6" x14ac:dyDescent="0.3">
      <c r="A440" s="1">
        <v>42.02</v>
      </c>
      <c r="B440" s="1">
        <v>74.42</v>
      </c>
    </row>
    <row r="441" spans="1:2" ht="15.6" x14ac:dyDescent="0.3">
      <c r="A441" s="1">
        <v>25.67</v>
      </c>
      <c r="B441" s="1">
        <v>53.6</v>
      </c>
    </row>
    <row r="442" spans="1:2" ht="15.6" x14ac:dyDescent="0.3">
      <c r="A442" s="1">
        <v>24.54</v>
      </c>
      <c r="B442" s="1">
        <v>55.99</v>
      </c>
    </row>
    <row r="443" spans="1:2" ht="15.6" x14ac:dyDescent="0.3">
      <c r="A443" s="1">
        <v>17.23</v>
      </c>
      <c r="B443" s="1">
        <v>50.02</v>
      </c>
    </row>
    <row r="444" spans="1:2" ht="15.6" x14ac:dyDescent="0.3">
      <c r="A444" s="1">
        <v>33.44</v>
      </c>
      <c r="B444" s="1">
        <v>65.11</v>
      </c>
    </row>
    <row r="445" spans="1:2" ht="15.6" x14ac:dyDescent="0.3">
      <c r="A445" s="1">
        <v>87.98</v>
      </c>
      <c r="B445" s="1">
        <v>22.04</v>
      </c>
    </row>
    <row r="446" spans="1:2" ht="15.6" x14ac:dyDescent="0.3">
      <c r="A446" s="1">
        <v>29.72</v>
      </c>
      <c r="B446" s="1">
        <v>28.23</v>
      </c>
    </row>
    <row r="447" spans="1:2" ht="15.6" x14ac:dyDescent="0.3">
      <c r="A447" s="1">
        <v>62.22</v>
      </c>
      <c r="B447" s="1">
        <v>72.75</v>
      </c>
    </row>
    <row r="448" spans="1:2" ht="15.6" x14ac:dyDescent="0.3">
      <c r="A448" s="1">
        <v>14.98</v>
      </c>
      <c r="B448" s="1">
        <v>70.87</v>
      </c>
    </row>
    <row r="449" spans="1:2" ht="15.6" x14ac:dyDescent="0.3">
      <c r="A449" s="1">
        <v>26.68</v>
      </c>
      <c r="B449" s="1">
        <v>29.31</v>
      </c>
    </row>
    <row r="450" spans="1:2" ht="15.6" x14ac:dyDescent="0.3">
      <c r="A450" s="1">
        <v>87.53</v>
      </c>
      <c r="B450" s="1">
        <v>59.96</v>
      </c>
    </row>
    <row r="451" spans="1:2" ht="15.6" x14ac:dyDescent="0.3">
      <c r="A451" s="1">
        <v>68.87</v>
      </c>
      <c r="B451" s="1">
        <v>12.69</v>
      </c>
    </row>
    <row r="452" spans="1:2" ht="15.6" x14ac:dyDescent="0.3">
      <c r="A452" s="1">
        <v>76.95</v>
      </c>
      <c r="B452" s="1">
        <v>75.61</v>
      </c>
    </row>
    <row r="453" spans="1:2" ht="15.6" x14ac:dyDescent="0.3">
      <c r="A453" s="1">
        <v>25.65</v>
      </c>
      <c r="B453" s="1">
        <v>66.459999999999994</v>
      </c>
    </row>
    <row r="454" spans="1:2" ht="15.6" x14ac:dyDescent="0.3">
      <c r="A454" s="1">
        <v>33.270000000000003</v>
      </c>
      <c r="B454" s="1">
        <v>60.32</v>
      </c>
    </row>
    <row r="455" spans="1:2" ht="15.6" x14ac:dyDescent="0.3">
      <c r="A455" s="1">
        <v>63.44</v>
      </c>
      <c r="B455" s="1">
        <v>43.03</v>
      </c>
    </row>
    <row r="456" spans="1:2" ht="15.6" x14ac:dyDescent="0.3">
      <c r="A456" s="1">
        <v>79.03</v>
      </c>
      <c r="B456" s="1">
        <v>44.52</v>
      </c>
    </row>
    <row r="457" spans="1:2" ht="15.6" x14ac:dyDescent="0.3">
      <c r="A457" s="1">
        <v>29.73</v>
      </c>
      <c r="B457" s="1">
        <v>5.9</v>
      </c>
    </row>
    <row r="458" spans="1:2" ht="15.6" x14ac:dyDescent="0.3">
      <c r="A458" s="1">
        <v>48.18</v>
      </c>
      <c r="B458" s="1">
        <v>17.84</v>
      </c>
    </row>
    <row r="459" spans="1:2" ht="15.6" x14ac:dyDescent="0.3">
      <c r="A459" s="1">
        <v>61.3</v>
      </c>
      <c r="B459" s="1">
        <v>47.38</v>
      </c>
    </row>
    <row r="460" spans="1:2" ht="15.6" x14ac:dyDescent="0.3">
      <c r="A460" s="1">
        <v>18.73</v>
      </c>
      <c r="B460" s="1">
        <v>70.16</v>
      </c>
    </row>
    <row r="461" spans="1:2" ht="15.6" x14ac:dyDescent="0.3">
      <c r="A461" s="1">
        <v>86.86</v>
      </c>
      <c r="B461" s="1">
        <v>56.23</v>
      </c>
    </row>
    <row r="462" spans="1:2" ht="15.6" x14ac:dyDescent="0.3">
      <c r="A462" s="1">
        <v>65.73</v>
      </c>
      <c r="B462" s="1">
        <v>9.8800000000000008</v>
      </c>
    </row>
    <row r="463" spans="1:2" ht="15.6" x14ac:dyDescent="0.3">
      <c r="A463" s="1">
        <v>14.19</v>
      </c>
      <c r="B463" s="1">
        <v>17.55</v>
      </c>
    </row>
    <row r="464" spans="1:2" ht="15.6" x14ac:dyDescent="0.3">
      <c r="A464" s="1">
        <v>55.01</v>
      </c>
      <c r="B464" s="1">
        <v>27.66</v>
      </c>
    </row>
    <row r="465" spans="1:2" ht="15.6" x14ac:dyDescent="0.3">
      <c r="A465" s="1">
        <v>60.09</v>
      </c>
      <c r="B465" s="1">
        <v>6.09</v>
      </c>
    </row>
    <row r="466" spans="1:2" ht="15.6" x14ac:dyDescent="0.3">
      <c r="A466" s="1">
        <v>12.62</v>
      </c>
      <c r="B466" s="1">
        <v>67.02</v>
      </c>
    </row>
    <row r="467" spans="1:2" ht="15.6" x14ac:dyDescent="0.3">
      <c r="A467" s="1">
        <v>16.25</v>
      </c>
      <c r="B467" s="1">
        <v>21.86</v>
      </c>
    </row>
    <row r="468" spans="1:2" ht="15.6" x14ac:dyDescent="0.3">
      <c r="A468" s="1">
        <v>76.69</v>
      </c>
      <c r="B468" s="1">
        <v>73.87</v>
      </c>
    </row>
    <row r="469" spans="1:2" ht="15.6" x14ac:dyDescent="0.3">
      <c r="A469" s="1">
        <v>85.79</v>
      </c>
      <c r="B469" s="1">
        <v>37.299999999999997</v>
      </c>
    </row>
    <row r="470" spans="1:2" ht="15.6" x14ac:dyDescent="0.3">
      <c r="A470" s="1">
        <v>58.94</v>
      </c>
      <c r="B470" s="1">
        <v>75.650000000000006</v>
      </c>
    </row>
    <row r="471" spans="1:2" ht="15.6" x14ac:dyDescent="0.3">
      <c r="A471" s="1">
        <v>62.87</v>
      </c>
      <c r="B471" s="1">
        <v>60.02</v>
      </c>
    </row>
    <row r="472" spans="1:2" ht="15.6" x14ac:dyDescent="0.3">
      <c r="A472" s="1">
        <v>54.08</v>
      </c>
      <c r="B472" s="1">
        <v>41.25</v>
      </c>
    </row>
    <row r="473" spans="1:2" ht="15.6" x14ac:dyDescent="0.3">
      <c r="A473" s="1">
        <v>29.43</v>
      </c>
      <c r="B473" s="1">
        <v>78.62</v>
      </c>
    </row>
    <row r="474" spans="1:2" ht="15.6" x14ac:dyDescent="0.3">
      <c r="A474" s="1">
        <v>72.02</v>
      </c>
      <c r="B474" s="1">
        <v>8.23</v>
      </c>
    </row>
    <row r="475" spans="1:2" ht="15.6" x14ac:dyDescent="0.3">
      <c r="A475" s="1">
        <v>87.86</v>
      </c>
      <c r="B475" s="1">
        <v>29.01</v>
      </c>
    </row>
    <row r="476" spans="1:2" ht="15.6" x14ac:dyDescent="0.3">
      <c r="A476" s="1">
        <v>89.45</v>
      </c>
      <c r="B476" s="1">
        <v>45.28</v>
      </c>
    </row>
    <row r="477" spans="1:2" ht="15.6" x14ac:dyDescent="0.3">
      <c r="A477" s="1">
        <v>57.5</v>
      </c>
      <c r="B477" s="1">
        <v>15.17</v>
      </c>
    </row>
    <row r="478" spans="1:2" ht="15.6" x14ac:dyDescent="0.3">
      <c r="A478" s="1">
        <v>12.1</v>
      </c>
      <c r="B478" s="1">
        <v>33.61</v>
      </c>
    </row>
    <row r="479" spans="1:2" ht="15.6" x14ac:dyDescent="0.3">
      <c r="A479" s="1">
        <v>85.34</v>
      </c>
      <c r="B479" s="1">
        <v>39.94</v>
      </c>
    </row>
    <row r="480" spans="1:2" ht="15.6" x14ac:dyDescent="0.3">
      <c r="A480" s="1">
        <v>32.380000000000003</v>
      </c>
      <c r="B480" s="1">
        <v>57.11</v>
      </c>
    </row>
    <row r="481" spans="1:2" ht="15.6" x14ac:dyDescent="0.3">
      <c r="A481" s="1">
        <v>40.409999999999997</v>
      </c>
      <c r="B481" s="1">
        <v>25.3</v>
      </c>
    </row>
    <row r="482" spans="1:2" ht="15.6" x14ac:dyDescent="0.3">
      <c r="A482" s="1">
        <v>82.38</v>
      </c>
      <c r="B482" s="1">
        <v>26.1</v>
      </c>
    </row>
    <row r="483" spans="1:2" ht="15.6" x14ac:dyDescent="0.3">
      <c r="A483" s="1">
        <v>10.66</v>
      </c>
      <c r="B483" s="1">
        <v>63.66</v>
      </c>
    </row>
    <row r="484" spans="1:2" ht="15.6" x14ac:dyDescent="0.3">
      <c r="A484" s="1">
        <v>32.53</v>
      </c>
      <c r="B484" s="1">
        <v>65.59</v>
      </c>
    </row>
    <row r="485" spans="1:2" ht="15.6" x14ac:dyDescent="0.3">
      <c r="A485" s="1">
        <v>68.97</v>
      </c>
      <c r="B485" s="1">
        <v>20.100000000000001</v>
      </c>
    </row>
    <row r="486" spans="1:2" ht="15.6" x14ac:dyDescent="0.3">
      <c r="A486" s="1">
        <v>88.85</v>
      </c>
      <c r="B486" s="1">
        <v>64.77</v>
      </c>
    </row>
    <row r="487" spans="1:2" ht="15.6" x14ac:dyDescent="0.3">
      <c r="A487" s="1">
        <v>28.82</v>
      </c>
      <c r="B487" s="1">
        <v>65.13</v>
      </c>
    </row>
    <row r="488" spans="1:2" ht="15.6" x14ac:dyDescent="0.3">
      <c r="A488" s="1">
        <v>76.59</v>
      </c>
      <c r="B488" s="1">
        <v>27.61</v>
      </c>
    </row>
    <row r="489" spans="1:2" ht="15.6" x14ac:dyDescent="0.3">
      <c r="A489" s="1">
        <v>51.29</v>
      </c>
      <c r="B489" s="1">
        <v>16.72</v>
      </c>
    </row>
    <row r="490" spans="1:2" ht="15.6" x14ac:dyDescent="0.3">
      <c r="A490" s="1">
        <v>76.099999999999994</v>
      </c>
      <c r="B490" s="1">
        <v>30.4</v>
      </c>
    </row>
    <row r="491" spans="1:2" ht="15.6" x14ac:dyDescent="0.3">
      <c r="A491" s="1">
        <v>61.98</v>
      </c>
      <c r="B491" s="1">
        <v>44.53</v>
      </c>
    </row>
    <row r="492" spans="1:2" ht="15.6" x14ac:dyDescent="0.3">
      <c r="A492" s="1">
        <v>48.12</v>
      </c>
      <c r="B492" s="1">
        <v>61.72</v>
      </c>
    </row>
    <row r="493" spans="1:2" ht="15.6" x14ac:dyDescent="0.3">
      <c r="A493" s="1">
        <v>89.7</v>
      </c>
      <c r="B493" s="1">
        <v>17</v>
      </c>
    </row>
    <row r="494" spans="1:2" ht="15.6" x14ac:dyDescent="0.3">
      <c r="A494" s="1">
        <v>37.15</v>
      </c>
      <c r="B494" s="1">
        <v>7.42</v>
      </c>
    </row>
    <row r="495" spans="1:2" ht="15.6" x14ac:dyDescent="0.3">
      <c r="A495" s="1">
        <v>84.9</v>
      </c>
      <c r="B495" s="1">
        <v>22.66</v>
      </c>
    </row>
    <row r="496" spans="1:2" ht="15.6" x14ac:dyDescent="0.3">
      <c r="A496" s="1">
        <v>78.36</v>
      </c>
      <c r="B496" s="1">
        <v>45.74</v>
      </c>
    </row>
    <row r="497" spans="1:2" ht="15.6" x14ac:dyDescent="0.3">
      <c r="A497" s="1">
        <v>42.72</v>
      </c>
      <c r="B497" s="1">
        <v>79.98</v>
      </c>
    </row>
    <row r="498" spans="1:2" ht="15.6" x14ac:dyDescent="0.3">
      <c r="A498" s="1">
        <v>79.540000000000006</v>
      </c>
      <c r="B498" s="1">
        <v>30.39</v>
      </c>
    </row>
    <row r="499" spans="1:2" ht="15.6" x14ac:dyDescent="0.3">
      <c r="A499" s="1">
        <v>32.78</v>
      </c>
      <c r="B499" s="1">
        <v>68.239999999999995</v>
      </c>
    </row>
    <row r="500" spans="1:2" ht="15.6" x14ac:dyDescent="0.3">
      <c r="A500" s="1">
        <v>23.17</v>
      </c>
      <c r="B500" s="1">
        <v>75.290000000000006</v>
      </c>
    </row>
    <row r="501" spans="1:2" ht="15.6" x14ac:dyDescent="0.3">
      <c r="A501" s="1">
        <v>40.700000000000003</v>
      </c>
      <c r="B501" s="1">
        <v>57.62</v>
      </c>
    </row>
    <row r="502" spans="1:2" ht="15.6" x14ac:dyDescent="0.3">
      <c r="A502" s="1">
        <v>25.26</v>
      </c>
      <c r="B502" s="1">
        <v>50.96</v>
      </c>
    </row>
    <row r="503" spans="1:2" ht="15.6" x14ac:dyDescent="0.3">
      <c r="A503" s="1">
        <v>61.61</v>
      </c>
      <c r="B503" s="1">
        <v>77.790000000000006</v>
      </c>
    </row>
    <row r="504" spans="1:2" ht="15.6" x14ac:dyDescent="0.3">
      <c r="A504" s="1">
        <v>79.150000000000006</v>
      </c>
      <c r="B504" s="1">
        <v>31.46</v>
      </c>
    </row>
    <row r="505" spans="1:2" ht="15.6" x14ac:dyDescent="0.3">
      <c r="A505" s="1">
        <v>87.27</v>
      </c>
      <c r="B505" s="1">
        <v>44.6</v>
      </c>
    </row>
    <row r="506" spans="1:2" ht="15.6" x14ac:dyDescent="0.3">
      <c r="A506" s="1">
        <v>47.43</v>
      </c>
      <c r="B506" s="1">
        <v>5.96</v>
      </c>
    </row>
    <row r="507" spans="1:2" ht="15.6" x14ac:dyDescent="0.3">
      <c r="A507" s="1">
        <v>10.38</v>
      </c>
      <c r="B507" s="1">
        <v>13.99</v>
      </c>
    </row>
    <row r="508" spans="1:2" ht="15.6" x14ac:dyDescent="0.3">
      <c r="A508" s="1">
        <v>13.91</v>
      </c>
      <c r="B508" s="1">
        <v>75.650000000000006</v>
      </c>
    </row>
    <row r="509" spans="1:2" ht="15.6" x14ac:dyDescent="0.3">
      <c r="A509" s="1">
        <v>64.14</v>
      </c>
      <c r="B509" s="1">
        <v>74.510000000000005</v>
      </c>
    </row>
    <row r="510" spans="1:2" ht="15.6" x14ac:dyDescent="0.3">
      <c r="A510" s="1">
        <v>76.73</v>
      </c>
      <c r="B510" s="1">
        <v>60.58</v>
      </c>
    </row>
    <row r="511" spans="1:2" ht="15.6" x14ac:dyDescent="0.3">
      <c r="A511" s="1">
        <v>23.25</v>
      </c>
      <c r="B511" s="1">
        <v>7.98</v>
      </c>
    </row>
    <row r="512" spans="1:2" ht="15.6" x14ac:dyDescent="0.3">
      <c r="A512" s="1">
        <v>40.880000000000003</v>
      </c>
      <c r="B512" s="1">
        <v>38.619999999999997</v>
      </c>
    </row>
    <row r="513" spans="1:2" ht="15.6" x14ac:dyDescent="0.3">
      <c r="A513" s="1">
        <v>81.569999999999993</v>
      </c>
      <c r="B513" s="1">
        <v>42.09</v>
      </c>
    </row>
    <row r="514" spans="1:2" ht="15.6" x14ac:dyDescent="0.3">
      <c r="A514" s="1">
        <v>10.199999999999999</v>
      </c>
      <c r="B514" s="1">
        <v>6.52</v>
      </c>
    </row>
    <row r="515" spans="1:2" ht="15.6" x14ac:dyDescent="0.3">
      <c r="A515" s="1">
        <v>44.35</v>
      </c>
      <c r="B515" s="1">
        <v>56.94</v>
      </c>
    </row>
    <row r="516" spans="1:2" ht="15.6" x14ac:dyDescent="0.3">
      <c r="A516" s="1">
        <v>18.86</v>
      </c>
      <c r="B516" s="1">
        <v>55.07</v>
      </c>
    </row>
    <row r="517" spans="1:2" ht="15.6" x14ac:dyDescent="0.3">
      <c r="A517" s="1">
        <v>87.16</v>
      </c>
      <c r="B517" s="1">
        <v>66.58</v>
      </c>
    </row>
    <row r="518" spans="1:2" ht="15.6" x14ac:dyDescent="0.3">
      <c r="A518" s="1">
        <v>52.36</v>
      </c>
      <c r="B518" s="1">
        <v>52.31</v>
      </c>
    </row>
    <row r="519" spans="1:2" ht="15.6" x14ac:dyDescent="0.3">
      <c r="A519" s="1">
        <v>85.29</v>
      </c>
      <c r="B519" s="1">
        <v>36.04</v>
      </c>
    </row>
    <row r="520" spans="1:2" ht="15.6" x14ac:dyDescent="0.3">
      <c r="A520" s="1">
        <v>43.53</v>
      </c>
      <c r="B520" s="1">
        <v>52.74</v>
      </c>
    </row>
    <row r="521" spans="1:2" ht="15.6" x14ac:dyDescent="0.3">
      <c r="A521" s="1">
        <v>15.98</v>
      </c>
      <c r="B521" s="1">
        <v>79.86</v>
      </c>
    </row>
    <row r="522" spans="1:2" ht="15.6" x14ac:dyDescent="0.3">
      <c r="A522" s="1">
        <v>64.27</v>
      </c>
      <c r="B522" s="1">
        <v>25.19</v>
      </c>
    </row>
    <row r="523" spans="1:2" ht="15.6" x14ac:dyDescent="0.3">
      <c r="A523" s="1">
        <v>63.91</v>
      </c>
      <c r="B523" s="1">
        <v>58.85</v>
      </c>
    </row>
    <row r="524" spans="1:2" ht="15.6" x14ac:dyDescent="0.3">
      <c r="A524" s="1">
        <v>70.95</v>
      </c>
      <c r="B524" s="1">
        <v>17.87</v>
      </c>
    </row>
    <row r="525" spans="1:2" ht="15.6" x14ac:dyDescent="0.3">
      <c r="A525" s="1">
        <v>13.05</v>
      </c>
      <c r="B525" s="1">
        <v>36.51</v>
      </c>
    </row>
    <row r="526" spans="1:2" ht="15.6" x14ac:dyDescent="0.3">
      <c r="A526" s="1">
        <v>16.489999999999998</v>
      </c>
      <c r="B526" s="1">
        <v>71.010000000000005</v>
      </c>
    </row>
    <row r="527" spans="1:2" ht="15.6" x14ac:dyDescent="0.3">
      <c r="A527" s="1">
        <v>66.680000000000007</v>
      </c>
      <c r="B527" s="1">
        <v>18.47</v>
      </c>
    </row>
    <row r="528" spans="1:2" ht="15.6" x14ac:dyDescent="0.3">
      <c r="A528" s="1">
        <v>73.97</v>
      </c>
      <c r="B528" s="1">
        <v>78.58</v>
      </c>
    </row>
    <row r="529" spans="1:2" ht="15.6" x14ac:dyDescent="0.3">
      <c r="A529" s="1">
        <v>71.819999999999993</v>
      </c>
      <c r="B529" s="1">
        <v>51.32</v>
      </c>
    </row>
    <row r="530" spans="1:2" ht="15.6" x14ac:dyDescent="0.3">
      <c r="A530" s="1">
        <v>32.04</v>
      </c>
      <c r="B530" s="1">
        <v>53.08</v>
      </c>
    </row>
    <row r="531" spans="1:2" ht="15.6" x14ac:dyDescent="0.3">
      <c r="A531" s="1">
        <v>73.239999999999995</v>
      </c>
      <c r="B531" s="1">
        <v>61.69</v>
      </c>
    </row>
    <row r="532" spans="1:2" ht="15.6" x14ac:dyDescent="0.3">
      <c r="A532" s="1">
        <v>41.5</v>
      </c>
      <c r="B532" s="1">
        <v>8.6199999999999992</v>
      </c>
    </row>
    <row r="533" spans="1:2" ht="15.6" x14ac:dyDescent="0.3">
      <c r="A533" s="1">
        <v>66.91</v>
      </c>
      <c r="B533" s="1">
        <v>57.18</v>
      </c>
    </row>
    <row r="534" spans="1:2" ht="15.6" x14ac:dyDescent="0.3">
      <c r="A534" s="1">
        <v>30.46</v>
      </c>
      <c r="B534" s="1">
        <v>37.549999999999997</v>
      </c>
    </row>
    <row r="535" spans="1:2" ht="15.6" x14ac:dyDescent="0.3">
      <c r="A535" s="1">
        <v>46.38</v>
      </c>
      <c r="B535" s="1">
        <v>15.3</v>
      </c>
    </row>
    <row r="536" spans="1:2" ht="15.6" x14ac:dyDescent="0.3">
      <c r="A536" s="1">
        <v>33.909999999999997</v>
      </c>
      <c r="B536" s="1">
        <v>55.95</v>
      </c>
    </row>
    <row r="537" spans="1:2" ht="15.6" x14ac:dyDescent="0.3">
      <c r="A537" s="1">
        <v>47.74</v>
      </c>
      <c r="B537" s="1">
        <v>68.17</v>
      </c>
    </row>
    <row r="538" spans="1:2" ht="15.6" x14ac:dyDescent="0.3">
      <c r="A538" s="1">
        <v>61.58</v>
      </c>
      <c r="B538" s="1">
        <v>8.2100000000000009</v>
      </c>
    </row>
    <row r="539" spans="1:2" ht="15.6" x14ac:dyDescent="0.3">
      <c r="A539" s="1">
        <v>60.06</v>
      </c>
      <c r="B539" s="1">
        <v>62.69</v>
      </c>
    </row>
    <row r="540" spans="1:2" ht="15.6" x14ac:dyDescent="0.3">
      <c r="A540" s="1">
        <v>37.369999999999997</v>
      </c>
      <c r="B540" s="1">
        <v>76.7</v>
      </c>
    </row>
    <row r="541" spans="1:2" ht="15.6" x14ac:dyDescent="0.3">
      <c r="A541" s="1">
        <v>28.52</v>
      </c>
      <c r="B541" s="1">
        <v>38.409999999999997</v>
      </c>
    </row>
    <row r="542" spans="1:2" ht="15.6" x14ac:dyDescent="0.3">
      <c r="A542" s="1">
        <v>44.24</v>
      </c>
      <c r="B542" s="1">
        <v>39.049999999999997</v>
      </c>
    </row>
    <row r="543" spans="1:2" ht="15.6" x14ac:dyDescent="0.3">
      <c r="A543" s="1">
        <v>22.93</v>
      </c>
      <c r="B543" s="1">
        <v>29.99</v>
      </c>
    </row>
    <row r="544" spans="1:2" ht="15.6" x14ac:dyDescent="0.3">
      <c r="A544" s="1">
        <v>81.2</v>
      </c>
      <c r="B544" s="1">
        <v>68.97</v>
      </c>
    </row>
    <row r="545" spans="1:2" ht="15.6" x14ac:dyDescent="0.3">
      <c r="A545" s="1">
        <v>88.59</v>
      </c>
      <c r="B545" s="1">
        <v>56.95</v>
      </c>
    </row>
    <row r="546" spans="1:2" ht="15.6" x14ac:dyDescent="0.3">
      <c r="A546" s="1">
        <v>58.3</v>
      </c>
      <c r="B546" s="1">
        <v>16.079999999999998</v>
      </c>
    </row>
    <row r="547" spans="1:2" ht="15.6" x14ac:dyDescent="0.3">
      <c r="A547" s="1">
        <v>77.150000000000006</v>
      </c>
      <c r="B547" s="1">
        <v>22</v>
      </c>
    </row>
    <row r="548" spans="1:2" ht="15.6" x14ac:dyDescent="0.3">
      <c r="A548" s="1">
        <v>47.89</v>
      </c>
      <c r="B548" s="1">
        <v>43.58</v>
      </c>
    </row>
    <row r="549" spans="1:2" ht="15.6" x14ac:dyDescent="0.3">
      <c r="A549" s="1">
        <v>69.25</v>
      </c>
      <c r="B549" s="1">
        <v>18.28</v>
      </c>
    </row>
    <row r="550" spans="1:2" ht="15.6" x14ac:dyDescent="0.3">
      <c r="A550" s="1">
        <v>66.09</v>
      </c>
      <c r="B550" s="1">
        <v>63.35</v>
      </c>
    </row>
    <row r="551" spans="1:2" ht="15.6" x14ac:dyDescent="0.3">
      <c r="A551" s="1">
        <v>43.98</v>
      </c>
      <c r="B551" s="1">
        <v>32.659999999999997</v>
      </c>
    </row>
    <row r="552" spans="1:2" ht="15.6" x14ac:dyDescent="0.3">
      <c r="A552" s="1">
        <v>66.86</v>
      </c>
      <c r="B552" s="1">
        <v>49.34</v>
      </c>
    </row>
    <row r="553" spans="1:2" ht="15.6" x14ac:dyDescent="0.3">
      <c r="A553" s="1">
        <v>85.84</v>
      </c>
      <c r="B553" s="1">
        <v>51.9</v>
      </c>
    </row>
    <row r="554" spans="1:2" ht="15.6" x14ac:dyDescent="0.3">
      <c r="A554" s="1">
        <v>70.91</v>
      </c>
      <c r="B554" s="1">
        <v>9.4499999999999993</v>
      </c>
    </row>
    <row r="555" spans="1:2" ht="15.6" x14ac:dyDescent="0.3">
      <c r="A555" s="1">
        <v>32.08</v>
      </c>
      <c r="B555" s="1">
        <v>39.94</v>
      </c>
    </row>
    <row r="556" spans="1:2" ht="15.6" x14ac:dyDescent="0.3">
      <c r="A556" s="1">
        <v>77.12</v>
      </c>
      <c r="B556" s="1">
        <v>34.11</v>
      </c>
    </row>
    <row r="557" spans="1:2" ht="15.6" x14ac:dyDescent="0.3">
      <c r="A557" s="1">
        <v>41.87</v>
      </c>
      <c r="B557" s="1">
        <v>15.24</v>
      </c>
    </row>
    <row r="558" spans="1:2" ht="15.6" x14ac:dyDescent="0.3">
      <c r="A558" s="1">
        <v>28.48</v>
      </c>
      <c r="B558" s="1">
        <v>13.72</v>
      </c>
    </row>
    <row r="559" spans="1:2" ht="15.6" x14ac:dyDescent="0.3">
      <c r="A559" s="1">
        <v>55.27</v>
      </c>
      <c r="B559" s="1">
        <v>34.21</v>
      </c>
    </row>
    <row r="560" spans="1:2" ht="15.6" x14ac:dyDescent="0.3">
      <c r="A560" s="1">
        <v>54.39</v>
      </c>
      <c r="B560" s="1">
        <v>20.58</v>
      </c>
    </row>
    <row r="561" spans="1:2" ht="15.6" x14ac:dyDescent="0.3">
      <c r="A561" s="1">
        <v>27.04</v>
      </c>
      <c r="B561" s="1">
        <v>47.41</v>
      </c>
    </row>
    <row r="562" spans="1:2" ht="15.6" x14ac:dyDescent="0.3">
      <c r="A562" s="1">
        <v>59.78</v>
      </c>
      <c r="B562" s="1">
        <v>57.5</v>
      </c>
    </row>
    <row r="563" spans="1:2" ht="15.6" x14ac:dyDescent="0.3">
      <c r="A563" s="1">
        <v>74.5</v>
      </c>
      <c r="B563" s="1">
        <v>15.52</v>
      </c>
    </row>
    <row r="564" spans="1:2" ht="15.6" x14ac:dyDescent="0.3">
      <c r="A564" s="1">
        <v>31.38</v>
      </c>
      <c r="B564" s="1">
        <v>57.08</v>
      </c>
    </row>
    <row r="565" spans="1:2" ht="15.6" x14ac:dyDescent="0.3">
      <c r="A565" s="1">
        <v>79.98</v>
      </c>
      <c r="B565" s="1">
        <v>50.46</v>
      </c>
    </row>
    <row r="566" spans="1:2" ht="15.6" x14ac:dyDescent="0.3">
      <c r="A566" s="1">
        <v>44.21</v>
      </c>
      <c r="B566" s="1">
        <v>40.5</v>
      </c>
    </row>
    <row r="567" spans="1:2" ht="15.6" x14ac:dyDescent="0.3">
      <c r="A567" s="1">
        <v>47.71</v>
      </c>
      <c r="B567" s="1">
        <v>8.0500000000000007</v>
      </c>
    </row>
    <row r="568" spans="1:2" ht="15.6" x14ac:dyDescent="0.3">
      <c r="A568" s="1">
        <v>78.930000000000007</v>
      </c>
      <c r="B568" s="1">
        <v>12.64</v>
      </c>
    </row>
    <row r="569" spans="1:2" ht="15.6" x14ac:dyDescent="0.3">
      <c r="A569" s="1">
        <v>32.44</v>
      </c>
      <c r="B569" s="1">
        <v>42.42</v>
      </c>
    </row>
    <row r="570" spans="1:2" ht="15.6" x14ac:dyDescent="0.3">
      <c r="A570" s="1">
        <v>20.76</v>
      </c>
      <c r="B570" s="1">
        <v>42.31</v>
      </c>
    </row>
    <row r="571" spans="1:2" ht="15.6" x14ac:dyDescent="0.3">
      <c r="A571" s="1">
        <v>21.72</v>
      </c>
      <c r="B571" s="1">
        <v>58.18</v>
      </c>
    </row>
    <row r="572" spans="1:2" ht="15.6" x14ac:dyDescent="0.3">
      <c r="A572" s="1">
        <v>32.14</v>
      </c>
      <c r="B572" s="1">
        <v>75.37</v>
      </c>
    </row>
    <row r="573" spans="1:2" ht="15.6" x14ac:dyDescent="0.3">
      <c r="A573" s="1">
        <v>14.01</v>
      </c>
      <c r="B573" s="1">
        <v>24.36</v>
      </c>
    </row>
    <row r="574" spans="1:2" ht="15.6" x14ac:dyDescent="0.3">
      <c r="A574" s="1">
        <v>58.55</v>
      </c>
      <c r="B574" s="1">
        <v>41.22</v>
      </c>
    </row>
    <row r="575" spans="1:2" ht="15.6" x14ac:dyDescent="0.3">
      <c r="A575" s="1">
        <v>83.26</v>
      </c>
      <c r="B575" s="1">
        <v>79.48</v>
      </c>
    </row>
    <row r="576" spans="1:2" ht="15.6" x14ac:dyDescent="0.3">
      <c r="A576" s="1">
        <v>34.76</v>
      </c>
      <c r="B576" s="1">
        <v>74.13</v>
      </c>
    </row>
    <row r="577" spans="1:2" ht="15.6" x14ac:dyDescent="0.3">
      <c r="A577" s="1">
        <v>59.32</v>
      </c>
      <c r="B577" s="1">
        <v>71.319999999999993</v>
      </c>
    </row>
    <row r="578" spans="1:2" ht="15.6" x14ac:dyDescent="0.3">
      <c r="A578" s="1">
        <v>61.69</v>
      </c>
      <c r="B578" s="1">
        <v>42.98</v>
      </c>
    </row>
    <row r="579" spans="1:2" ht="15.6" x14ac:dyDescent="0.3">
      <c r="A579" s="1">
        <v>50.32</v>
      </c>
      <c r="B579" s="1">
        <v>13.86</v>
      </c>
    </row>
    <row r="580" spans="1:2" ht="15.6" x14ac:dyDescent="0.3">
      <c r="A580" s="1">
        <v>14.39</v>
      </c>
      <c r="B580" s="1">
        <v>55.67</v>
      </c>
    </row>
    <row r="581" spans="1:2" ht="15.6" x14ac:dyDescent="0.3">
      <c r="A581" s="1">
        <v>56.75</v>
      </c>
      <c r="B581" s="1">
        <v>62.11</v>
      </c>
    </row>
    <row r="582" spans="1:2" ht="15.6" x14ac:dyDescent="0.3">
      <c r="A582" s="1">
        <v>79.16</v>
      </c>
      <c r="B582" s="1">
        <v>15.98</v>
      </c>
    </row>
    <row r="583" spans="1:2" ht="15.6" x14ac:dyDescent="0.3">
      <c r="A583" s="1">
        <v>82.95</v>
      </c>
      <c r="B583" s="1">
        <v>74.17</v>
      </c>
    </row>
    <row r="584" spans="1:2" ht="15.6" x14ac:dyDescent="0.3">
      <c r="A584" s="1">
        <v>40.14</v>
      </c>
      <c r="B584" s="1">
        <v>79.92</v>
      </c>
    </row>
    <row r="585" spans="1:2" ht="15.6" x14ac:dyDescent="0.3">
      <c r="A585" s="1">
        <v>87.88</v>
      </c>
      <c r="B585" s="1">
        <v>28.46</v>
      </c>
    </row>
    <row r="586" spans="1:2" ht="15.6" x14ac:dyDescent="0.3">
      <c r="A586" s="1">
        <v>62.11</v>
      </c>
      <c r="B586" s="1">
        <v>8.42</v>
      </c>
    </row>
    <row r="587" spans="1:2" ht="15.6" x14ac:dyDescent="0.3">
      <c r="A587" s="1">
        <v>53.51</v>
      </c>
      <c r="B587" s="1">
        <v>26.65</v>
      </c>
    </row>
    <row r="588" spans="1:2" ht="15.6" x14ac:dyDescent="0.3">
      <c r="A588" s="1">
        <v>34.299999999999997</v>
      </c>
      <c r="B588" s="1">
        <v>79.19</v>
      </c>
    </row>
    <row r="589" spans="1:2" ht="15.6" x14ac:dyDescent="0.3">
      <c r="A589" s="1">
        <v>50.06</v>
      </c>
      <c r="B589" s="1">
        <v>54.57</v>
      </c>
    </row>
    <row r="590" spans="1:2" ht="15.6" x14ac:dyDescent="0.3">
      <c r="A590" s="1">
        <v>30.14</v>
      </c>
      <c r="B590" s="1">
        <v>58.67</v>
      </c>
    </row>
    <row r="591" spans="1:2" ht="15.6" x14ac:dyDescent="0.3">
      <c r="A591" s="1">
        <v>85.44</v>
      </c>
      <c r="B591" s="1">
        <v>45.66</v>
      </c>
    </row>
    <row r="592" spans="1:2" ht="15.6" x14ac:dyDescent="0.3">
      <c r="A592" s="1">
        <v>64.849999999999994</v>
      </c>
      <c r="B592" s="1">
        <v>70.98</v>
      </c>
    </row>
    <row r="593" spans="1:2" ht="15.6" x14ac:dyDescent="0.3">
      <c r="A593" s="1">
        <v>65.78</v>
      </c>
      <c r="B593" s="1">
        <v>52.34</v>
      </c>
    </row>
    <row r="594" spans="1:2" ht="15.6" x14ac:dyDescent="0.3">
      <c r="A594" s="1">
        <v>19.55</v>
      </c>
      <c r="B594" s="1">
        <v>23.15</v>
      </c>
    </row>
    <row r="595" spans="1:2" ht="15.6" x14ac:dyDescent="0.3">
      <c r="A595" s="1">
        <v>71.260000000000005</v>
      </c>
      <c r="B595" s="1">
        <v>53.28</v>
      </c>
    </row>
    <row r="596" spans="1:2" ht="15.6" x14ac:dyDescent="0.3">
      <c r="A596" s="1">
        <v>74.25</v>
      </c>
      <c r="B596" s="1">
        <v>72.819999999999993</v>
      </c>
    </row>
    <row r="597" spans="1:2" ht="15.6" x14ac:dyDescent="0.3">
      <c r="A597" s="1">
        <v>52</v>
      </c>
      <c r="B597" s="1">
        <v>64.87</v>
      </c>
    </row>
    <row r="598" spans="1:2" ht="15.6" x14ac:dyDescent="0.3">
      <c r="A598" s="1">
        <v>34.72</v>
      </c>
      <c r="B598" s="1">
        <v>77.22</v>
      </c>
    </row>
    <row r="599" spans="1:2" ht="15.6" x14ac:dyDescent="0.3">
      <c r="A599" s="1">
        <v>53.11</v>
      </c>
      <c r="B599" s="1">
        <v>29.81</v>
      </c>
    </row>
    <row r="600" spans="1:2" ht="15.6" x14ac:dyDescent="0.3">
      <c r="A600" s="1">
        <v>13.48</v>
      </c>
      <c r="B600" s="1">
        <v>8.5399999999999991</v>
      </c>
    </row>
    <row r="601" spans="1:2" ht="15.6" x14ac:dyDescent="0.3">
      <c r="A601" s="1">
        <v>69.150000000000006</v>
      </c>
      <c r="B601" s="1">
        <v>57.03</v>
      </c>
    </row>
    <row r="602" spans="1:2" ht="15.6" x14ac:dyDescent="0.3">
      <c r="A602" s="1">
        <v>10.68</v>
      </c>
      <c r="B602" s="1">
        <v>18.23</v>
      </c>
    </row>
    <row r="603" spans="1:2" ht="15.6" x14ac:dyDescent="0.3">
      <c r="A603" s="1">
        <v>75.38</v>
      </c>
      <c r="B603" s="1">
        <v>62.87</v>
      </c>
    </row>
    <row r="604" spans="1:2" ht="15.6" x14ac:dyDescent="0.3">
      <c r="A604" s="1">
        <v>67.010000000000005</v>
      </c>
      <c r="B604" s="1">
        <v>25.27</v>
      </c>
    </row>
    <row r="605" spans="1:2" ht="15.6" x14ac:dyDescent="0.3">
      <c r="A605" s="1">
        <v>13.2</v>
      </c>
      <c r="B605" s="1">
        <v>68.069999999999993</v>
      </c>
    </row>
    <row r="606" spans="1:2" ht="15.6" x14ac:dyDescent="0.3">
      <c r="A606" s="1">
        <v>88.7</v>
      </c>
      <c r="B606" s="1">
        <v>25.97</v>
      </c>
    </row>
    <row r="607" spans="1:2" ht="15.6" x14ac:dyDescent="0.3">
      <c r="A607" s="1">
        <v>75.3</v>
      </c>
      <c r="B607" s="1">
        <v>75.319999999999993</v>
      </c>
    </row>
    <row r="608" spans="1:2" ht="15.6" x14ac:dyDescent="0.3">
      <c r="A608" s="1">
        <v>54.64</v>
      </c>
      <c r="B608" s="1">
        <v>60.02</v>
      </c>
    </row>
    <row r="609" spans="1:2" ht="15.6" x14ac:dyDescent="0.3">
      <c r="A609" s="1">
        <v>73.59</v>
      </c>
      <c r="B609" s="1">
        <v>11.24</v>
      </c>
    </row>
    <row r="610" spans="1:2" ht="15.6" x14ac:dyDescent="0.3">
      <c r="A610" s="1">
        <v>64.459999999999994</v>
      </c>
      <c r="B610" s="1">
        <v>45.44</v>
      </c>
    </row>
    <row r="611" spans="1:2" ht="15.6" x14ac:dyDescent="0.3">
      <c r="A611" s="1">
        <v>62.58</v>
      </c>
      <c r="B611" s="1">
        <v>76.48</v>
      </c>
    </row>
    <row r="612" spans="1:2" ht="15.6" x14ac:dyDescent="0.3">
      <c r="A612" s="1">
        <v>59.81</v>
      </c>
      <c r="B612" s="1">
        <v>43.02</v>
      </c>
    </row>
    <row r="613" spans="1:2" ht="15.6" x14ac:dyDescent="0.3">
      <c r="A613" s="1">
        <v>19.38</v>
      </c>
      <c r="B613" s="1">
        <v>65.88</v>
      </c>
    </row>
    <row r="614" spans="1:2" ht="15.6" x14ac:dyDescent="0.3">
      <c r="A614" s="1">
        <v>15.54</v>
      </c>
      <c r="B614" s="1">
        <v>26.97</v>
      </c>
    </row>
    <row r="615" spans="1:2" ht="15.6" x14ac:dyDescent="0.3">
      <c r="A615" s="1">
        <v>66.150000000000006</v>
      </c>
      <c r="B615" s="1">
        <v>6.84</v>
      </c>
    </row>
    <row r="616" spans="1:2" ht="15.6" x14ac:dyDescent="0.3">
      <c r="A616" s="1">
        <v>82.81</v>
      </c>
      <c r="B616" s="1">
        <v>73.27</v>
      </c>
    </row>
    <row r="617" spans="1:2" ht="15.6" x14ac:dyDescent="0.3">
      <c r="A617" s="1">
        <v>63.03</v>
      </c>
      <c r="B617" s="1">
        <v>68.83</v>
      </c>
    </row>
    <row r="618" spans="1:2" ht="15.6" x14ac:dyDescent="0.3">
      <c r="A618" s="1">
        <v>11.72</v>
      </c>
      <c r="B618" s="1">
        <v>33.36</v>
      </c>
    </row>
    <row r="619" spans="1:2" ht="15.6" x14ac:dyDescent="0.3">
      <c r="A619" s="1">
        <v>35.869999999999997</v>
      </c>
      <c r="B619" s="1">
        <v>45.5</v>
      </c>
    </row>
    <row r="620" spans="1:2" ht="15.6" x14ac:dyDescent="0.3">
      <c r="A620" s="1">
        <v>47.97</v>
      </c>
      <c r="B620" s="1">
        <v>45.7</v>
      </c>
    </row>
    <row r="621" spans="1:2" ht="15.6" x14ac:dyDescent="0.3">
      <c r="A621" s="1">
        <v>75.83</v>
      </c>
      <c r="B621" s="1">
        <v>65.45</v>
      </c>
    </row>
    <row r="622" spans="1:2" ht="15.6" x14ac:dyDescent="0.3">
      <c r="A622" s="1">
        <v>53.97</v>
      </c>
      <c r="B622" s="1">
        <v>23.67</v>
      </c>
    </row>
    <row r="623" spans="1:2" ht="15.6" x14ac:dyDescent="0.3">
      <c r="A623" s="1">
        <v>31.93</v>
      </c>
      <c r="B623" s="1">
        <v>63.12</v>
      </c>
    </row>
    <row r="624" spans="1:2" ht="15.6" x14ac:dyDescent="0.3">
      <c r="A624" s="1">
        <v>72.19</v>
      </c>
      <c r="B624" s="1">
        <v>28.34</v>
      </c>
    </row>
    <row r="625" spans="1:2" ht="15.6" x14ac:dyDescent="0.3">
      <c r="A625" s="1">
        <v>64.3</v>
      </c>
      <c r="B625" s="1">
        <v>63</v>
      </c>
    </row>
    <row r="626" spans="1:2" ht="15.6" x14ac:dyDescent="0.3">
      <c r="A626" s="1">
        <v>78.459999999999994</v>
      </c>
      <c r="B626" s="1">
        <v>49.25</v>
      </c>
    </row>
    <row r="627" spans="1:2" ht="15.6" x14ac:dyDescent="0.3">
      <c r="A627" s="1">
        <v>10.61</v>
      </c>
      <c r="B627" s="1">
        <v>17.13</v>
      </c>
    </row>
    <row r="628" spans="1:2" ht="15.6" x14ac:dyDescent="0.3">
      <c r="A628" s="1">
        <v>13.77</v>
      </c>
      <c r="B628" s="1">
        <v>17.93</v>
      </c>
    </row>
    <row r="629" spans="1:2" ht="15.6" x14ac:dyDescent="0.3">
      <c r="A629" s="1">
        <v>77.34</v>
      </c>
      <c r="B629" s="1">
        <v>32.159999999999997</v>
      </c>
    </row>
    <row r="630" spans="1:2" ht="15.6" x14ac:dyDescent="0.3">
      <c r="A630" s="1">
        <v>60.23</v>
      </c>
      <c r="B630" s="1">
        <v>15.2</v>
      </c>
    </row>
    <row r="631" spans="1:2" ht="15.6" x14ac:dyDescent="0.3">
      <c r="A631" s="1">
        <v>63.1</v>
      </c>
      <c r="B631" s="1">
        <v>15.58</v>
      </c>
    </row>
    <row r="632" spans="1:2" ht="15.6" x14ac:dyDescent="0.3">
      <c r="A632" s="1">
        <v>29.82</v>
      </c>
      <c r="B632" s="1">
        <v>30.34</v>
      </c>
    </row>
    <row r="633" spans="1:2" ht="15.6" x14ac:dyDescent="0.3">
      <c r="A633" s="1">
        <v>30.23</v>
      </c>
      <c r="B633" s="1">
        <v>61.84</v>
      </c>
    </row>
    <row r="634" spans="1:2" ht="15.6" x14ac:dyDescent="0.3">
      <c r="A634" s="1">
        <v>83.8</v>
      </c>
      <c r="B634" s="1">
        <v>42.57</v>
      </c>
    </row>
    <row r="635" spans="1:2" ht="15.6" x14ac:dyDescent="0.3">
      <c r="A635" s="1">
        <v>34.33</v>
      </c>
      <c r="B635" s="1">
        <v>15.41</v>
      </c>
    </row>
    <row r="636" spans="1:2" ht="15.6" x14ac:dyDescent="0.3">
      <c r="A636" s="1">
        <v>74.209999999999994</v>
      </c>
      <c r="B636" s="1">
        <v>55.68</v>
      </c>
    </row>
    <row r="637" spans="1:2" ht="15.6" x14ac:dyDescent="0.3">
      <c r="A637" s="1">
        <v>47.73</v>
      </c>
      <c r="B637" s="1">
        <v>30.35</v>
      </c>
    </row>
    <row r="638" spans="1:2" ht="15.6" x14ac:dyDescent="0.3">
      <c r="A638" s="1">
        <v>37.15</v>
      </c>
      <c r="B638" s="1">
        <v>47.05</v>
      </c>
    </row>
    <row r="639" spans="1:2" ht="15.6" x14ac:dyDescent="0.3">
      <c r="A639" s="1">
        <v>37.630000000000003</v>
      </c>
      <c r="B639" s="1">
        <v>29.69</v>
      </c>
    </row>
    <row r="640" spans="1:2" ht="15.6" x14ac:dyDescent="0.3">
      <c r="A640" s="1">
        <v>67.7</v>
      </c>
      <c r="B640" s="1">
        <v>65.69</v>
      </c>
    </row>
    <row r="641" spans="1:2" ht="15.6" x14ac:dyDescent="0.3">
      <c r="A641" s="1">
        <v>30.82</v>
      </c>
      <c r="B641" s="1">
        <v>39.770000000000003</v>
      </c>
    </row>
    <row r="642" spans="1:2" ht="15.6" x14ac:dyDescent="0.3">
      <c r="A642" s="1">
        <v>59.2</v>
      </c>
      <c r="B642" s="1">
        <v>62.28</v>
      </c>
    </row>
    <row r="643" spans="1:2" ht="15.6" x14ac:dyDescent="0.3">
      <c r="A643" s="1">
        <v>50.39</v>
      </c>
      <c r="B643" s="1">
        <v>41.83</v>
      </c>
    </row>
    <row r="644" spans="1:2" ht="15.6" x14ac:dyDescent="0.3">
      <c r="A644" s="1">
        <v>78.23</v>
      </c>
      <c r="B644" s="1">
        <v>58.43</v>
      </c>
    </row>
    <row r="645" spans="1:2" ht="15.6" x14ac:dyDescent="0.3">
      <c r="A645" s="1">
        <v>18.66</v>
      </c>
      <c r="B645" s="1">
        <v>77.400000000000006</v>
      </c>
    </row>
    <row r="646" spans="1:2" ht="15.6" x14ac:dyDescent="0.3">
      <c r="A646" s="1">
        <v>38.549999999999997</v>
      </c>
      <c r="B646" s="1">
        <v>37.78</v>
      </c>
    </row>
    <row r="647" spans="1:2" ht="15.6" x14ac:dyDescent="0.3">
      <c r="A647" s="1">
        <v>83.75</v>
      </c>
      <c r="B647" s="1">
        <v>37</v>
      </c>
    </row>
    <row r="648" spans="1:2" ht="15.6" x14ac:dyDescent="0.3">
      <c r="A648" s="1">
        <v>64.489999999999995</v>
      </c>
      <c r="B648" s="1">
        <v>43.23</v>
      </c>
    </row>
    <row r="649" spans="1:2" ht="15.6" x14ac:dyDescent="0.3">
      <c r="A649" s="1">
        <v>30.14</v>
      </c>
      <c r="B649" s="1">
        <v>53.05</v>
      </c>
    </row>
    <row r="650" spans="1:2" ht="15.6" x14ac:dyDescent="0.3">
      <c r="A650" s="1">
        <v>60.15</v>
      </c>
      <c r="B650" s="1">
        <v>63.15</v>
      </c>
    </row>
    <row r="651" spans="1:2" ht="15.6" x14ac:dyDescent="0.3">
      <c r="A651" s="1">
        <v>63.23</v>
      </c>
      <c r="B651" s="1">
        <v>35.770000000000003</v>
      </c>
    </row>
    <row r="652" spans="1:2" ht="15.6" x14ac:dyDescent="0.3">
      <c r="A652" s="1">
        <v>22.6</v>
      </c>
      <c r="B652" s="1">
        <v>34.42</v>
      </c>
    </row>
    <row r="653" spans="1:2" ht="15.6" x14ac:dyDescent="0.3">
      <c r="A653" s="1">
        <v>47.89</v>
      </c>
      <c r="B653" s="1">
        <v>67.17</v>
      </c>
    </row>
    <row r="654" spans="1:2" ht="15.6" x14ac:dyDescent="0.3">
      <c r="A654" s="1">
        <v>25.39</v>
      </c>
      <c r="B654" s="1">
        <v>43</v>
      </c>
    </row>
    <row r="655" spans="1:2" ht="15.6" x14ac:dyDescent="0.3">
      <c r="A655" s="1">
        <v>16.96</v>
      </c>
      <c r="B655" s="1">
        <v>39.909999999999997</v>
      </c>
    </row>
    <row r="656" spans="1:2" ht="15.6" x14ac:dyDescent="0.3">
      <c r="A656" s="1">
        <v>69.010000000000005</v>
      </c>
      <c r="B656" s="1">
        <v>31.48</v>
      </c>
    </row>
    <row r="657" spans="1:2" ht="15.6" x14ac:dyDescent="0.3">
      <c r="A657" s="1">
        <v>36.01</v>
      </c>
      <c r="B657" s="1">
        <v>35.700000000000003</v>
      </c>
    </row>
    <row r="658" spans="1:2" ht="15.6" x14ac:dyDescent="0.3">
      <c r="A658" s="1">
        <v>81.98</v>
      </c>
      <c r="B658" s="1">
        <v>11.15</v>
      </c>
    </row>
    <row r="659" spans="1:2" ht="15.6" x14ac:dyDescent="0.3">
      <c r="A659" s="1">
        <v>56.31</v>
      </c>
      <c r="B659" s="1">
        <v>15.65</v>
      </c>
    </row>
    <row r="660" spans="1:2" ht="15.6" x14ac:dyDescent="0.3">
      <c r="A660" s="1">
        <v>65.36</v>
      </c>
      <c r="B660" s="1">
        <v>22.2</v>
      </c>
    </row>
    <row r="661" spans="1:2" ht="15.6" x14ac:dyDescent="0.3">
      <c r="A661" s="1">
        <v>59.77</v>
      </c>
      <c r="B661" s="1">
        <v>39.18</v>
      </c>
    </row>
    <row r="662" spans="1:2" ht="15.6" x14ac:dyDescent="0.3">
      <c r="A662" s="1">
        <v>74.459999999999994</v>
      </c>
      <c r="B662" s="1">
        <v>59.95</v>
      </c>
    </row>
    <row r="663" spans="1:2" ht="15.6" x14ac:dyDescent="0.3">
      <c r="A663" s="1">
        <v>44.85</v>
      </c>
      <c r="B663" s="1">
        <v>52.48</v>
      </c>
    </row>
    <row r="664" spans="1:2" ht="15.6" x14ac:dyDescent="0.3">
      <c r="A664" s="1">
        <v>32.76</v>
      </c>
      <c r="B664" s="1">
        <v>41.85</v>
      </c>
    </row>
    <row r="665" spans="1:2" ht="15.6" x14ac:dyDescent="0.3">
      <c r="A665" s="1">
        <v>18.239999999999998</v>
      </c>
      <c r="B665" s="1">
        <v>67.069999999999993</v>
      </c>
    </row>
    <row r="666" spans="1:2" ht="15.6" x14ac:dyDescent="0.3">
      <c r="A666" s="1">
        <v>55.14</v>
      </c>
      <c r="B666" s="1">
        <v>18</v>
      </c>
    </row>
    <row r="667" spans="1:2" ht="15.6" x14ac:dyDescent="0.3">
      <c r="A667" s="1">
        <v>76.06</v>
      </c>
      <c r="B667" s="1">
        <v>68.61</v>
      </c>
    </row>
    <row r="668" spans="1:2" ht="15.6" x14ac:dyDescent="0.3">
      <c r="A668" s="1">
        <v>17.940000000000001</v>
      </c>
      <c r="B668" s="1">
        <v>71.040000000000006</v>
      </c>
    </row>
    <row r="669" spans="1:2" ht="15.6" x14ac:dyDescent="0.3">
      <c r="A669" s="1">
        <v>46.36</v>
      </c>
      <c r="B669" s="1">
        <v>21.92</v>
      </c>
    </row>
    <row r="670" spans="1:2" ht="15.6" x14ac:dyDescent="0.3">
      <c r="A670" s="1">
        <v>21.19</v>
      </c>
      <c r="B670" s="1">
        <v>43.41</v>
      </c>
    </row>
    <row r="671" spans="1:2" ht="15.6" x14ac:dyDescent="0.3">
      <c r="A671" s="1">
        <v>88.32</v>
      </c>
      <c r="B671" s="1">
        <v>38.89</v>
      </c>
    </row>
    <row r="672" spans="1:2" ht="15.6" x14ac:dyDescent="0.3">
      <c r="A672" s="1">
        <v>16.93</v>
      </c>
      <c r="B672" s="1">
        <v>29.29</v>
      </c>
    </row>
    <row r="673" spans="1:2" ht="15.6" x14ac:dyDescent="0.3">
      <c r="A673" s="1">
        <v>40.92</v>
      </c>
      <c r="B673" s="1">
        <v>23.01</v>
      </c>
    </row>
    <row r="674" spans="1:2" ht="15.6" x14ac:dyDescent="0.3">
      <c r="A674" s="1">
        <v>65.5</v>
      </c>
      <c r="B674" s="1">
        <v>60.69</v>
      </c>
    </row>
    <row r="675" spans="1:2" ht="15.6" x14ac:dyDescent="0.3">
      <c r="A675" s="1">
        <v>41.34</v>
      </c>
      <c r="B675" s="1">
        <v>39.380000000000003</v>
      </c>
    </row>
    <row r="676" spans="1:2" ht="15.6" x14ac:dyDescent="0.3">
      <c r="A676" s="1">
        <v>49.31</v>
      </c>
      <c r="B676" s="1">
        <v>58.22</v>
      </c>
    </row>
    <row r="677" spans="1:2" ht="15.6" x14ac:dyDescent="0.3">
      <c r="A677" s="1">
        <v>82.66</v>
      </c>
      <c r="B677" s="1">
        <v>49.14</v>
      </c>
    </row>
    <row r="678" spans="1:2" ht="15.6" x14ac:dyDescent="0.3">
      <c r="A678" s="1">
        <v>68.03</v>
      </c>
      <c r="B678" s="1">
        <v>35.549999999999997</v>
      </c>
    </row>
    <row r="679" spans="1:2" ht="15.6" x14ac:dyDescent="0.3">
      <c r="A679" s="1">
        <v>64.44</v>
      </c>
      <c r="B679" s="1">
        <v>12.11</v>
      </c>
    </row>
    <row r="680" spans="1:2" ht="15.6" x14ac:dyDescent="0.3">
      <c r="A680" s="1">
        <v>29.98</v>
      </c>
      <c r="B680" s="1">
        <v>30.38</v>
      </c>
    </row>
    <row r="681" spans="1:2" ht="15.6" x14ac:dyDescent="0.3">
      <c r="A681" s="1">
        <v>57.43</v>
      </c>
      <c r="B681" s="1">
        <v>9.94</v>
      </c>
    </row>
    <row r="682" spans="1:2" ht="15.6" x14ac:dyDescent="0.3">
      <c r="A682" s="1">
        <v>25.12</v>
      </c>
      <c r="B682" s="1">
        <v>35.020000000000003</v>
      </c>
    </row>
    <row r="683" spans="1:2" ht="15.6" x14ac:dyDescent="0.3">
      <c r="A683" s="1">
        <v>14.45</v>
      </c>
      <c r="B683" s="1">
        <v>73.47</v>
      </c>
    </row>
    <row r="684" spans="1:2" ht="15.6" x14ac:dyDescent="0.3">
      <c r="A684" s="1">
        <v>55.75</v>
      </c>
      <c r="B684" s="1">
        <v>56.6</v>
      </c>
    </row>
    <row r="685" spans="1:2" ht="15.6" x14ac:dyDescent="0.3">
      <c r="A685" s="1">
        <v>47</v>
      </c>
      <c r="B685" s="1">
        <v>51.19</v>
      </c>
    </row>
    <row r="686" spans="1:2" ht="15.6" x14ac:dyDescent="0.3">
      <c r="A686" s="1">
        <v>10.65</v>
      </c>
      <c r="B686" s="1">
        <v>28.68</v>
      </c>
    </row>
    <row r="687" spans="1:2" ht="15.6" x14ac:dyDescent="0.3">
      <c r="A687" s="1">
        <v>22.43</v>
      </c>
      <c r="B687" s="1">
        <v>32.630000000000003</v>
      </c>
    </row>
    <row r="688" spans="1:2" ht="15.6" x14ac:dyDescent="0.3">
      <c r="A688" s="1">
        <v>75.37</v>
      </c>
      <c r="B688" s="1">
        <v>62.15</v>
      </c>
    </row>
    <row r="689" spans="1:2" ht="15.6" x14ac:dyDescent="0.3">
      <c r="A689" s="1">
        <v>74.37</v>
      </c>
      <c r="B689" s="1">
        <v>12.09</v>
      </c>
    </row>
    <row r="690" spans="1:2" ht="15.6" x14ac:dyDescent="0.3">
      <c r="A690" s="1">
        <v>31.92</v>
      </c>
      <c r="B690" s="1">
        <v>26.39</v>
      </c>
    </row>
    <row r="691" spans="1:2" ht="15.6" x14ac:dyDescent="0.3">
      <c r="A691" s="1">
        <v>28.31</v>
      </c>
      <c r="B691" s="1">
        <v>56.89</v>
      </c>
    </row>
    <row r="692" spans="1:2" ht="15.6" x14ac:dyDescent="0.3">
      <c r="A692" s="1">
        <v>27.48</v>
      </c>
      <c r="B692" s="1">
        <v>34.03</v>
      </c>
    </row>
    <row r="693" spans="1:2" ht="15.6" x14ac:dyDescent="0.3">
      <c r="A693" s="1">
        <v>22.57</v>
      </c>
      <c r="B693" s="1">
        <v>23.31</v>
      </c>
    </row>
    <row r="694" spans="1:2" ht="15.6" x14ac:dyDescent="0.3">
      <c r="A694" s="1">
        <v>70.709999999999994</v>
      </c>
      <c r="B694" s="1">
        <v>9.5399999999999991</v>
      </c>
    </row>
    <row r="695" spans="1:2" ht="15.6" x14ac:dyDescent="0.3">
      <c r="A695" s="1">
        <v>88.55</v>
      </c>
      <c r="B695" s="1">
        <v>43.24</v>
      </c>
    </row>
    <row r="696" spans="1:2" ht="15.6" x14ac:dyDescent="0.3">
      <c r="A696" s="1">
        <v>82.11</v>
      </c>
      <c r="B696" s="1">
        <v>9.7200000000000006</v>
      </c>
    </row>
    <row r="697" spans="1:2" ht="15.6" x14ac:dyDescent="0.3">
      <c r="A697" s="1">
        <v>16.899999999999999</v>
      </c>
      <c r="B697" s="1">
        <v>36.9</v>
      </c>
    </row>
    <row r="698" spans="1:2" ht="15.6" x14ac:dyDescent="0.3">
      <c r="A698" s="1">
        <v>41.22</v>
      </c>
      <c r="B698" s="1">
        <v>11.82</v>
      </c>
    </row>
    <row r="699" spans="1:2" ht="15.6" x14ac:dyDescent="0.3">
      <c r="A699" s="1">
        <v>89.75</v>
      </c>
      <c r="B699" s="1">
        <v>47.82</v>
      </c>
    </row>
    <row r="700" spans="1:2" ht="15.6" x14ac:dyDescent="0.3">
      <c r="A700" s="1">
        <v>15.9</v>
      </c>
      <c r="B700" s="1">
        <v>54.34</v>
      </c>
    </row>
    <row r="701" spans="1:2" ht="15.6" x14ac:dyDescent="0.3">
      <c r="A701" s="1">
        <v>43.81</v>
      </c>
      <c r="B701" s="1">
        <v>20.28</v>
      </c>
    </row>
    <row r="702" spans="1:2" ht="15.6" x14ac:dyDescent="0.3">
      <c r="A702" s="1">
        <v>76.14</v>
      </c>
      <c r="B702" s="1">
        <v>21.37</v>
      </c>
    </row>
    <row r="703" spans="1:2" ht="15.6" x14ac:dyDescent="0.3">
      <c r="A703" s="1">
        <v>20.43</v>
      </c>
      <c r="B703" s="1">
        <v>8.42</v>
      </c>
    </row>
    <row r="704" spans="1:2" ht="15.6" x14ac:dyDescent="0.3">
      <c r="A704" s="1">
        <v>79.650000000000006</v>
      </c>
      <c r="B704" s="1">
        <v>54.67</v>
      </c>
    </row>
    <row r="705" spans="1:2" ht="15.6" x14ac:dyDescent="0.3">
      <c r="A705" s="1">
        <v>20.87</v>
      </c>
      <c r="B705" s="1">
        <v>55.73</v>
      </c>
    </row>
    <row r="706" spans="1:2" ht="15.6" x14ac:dyDescent="0.3">
      <c r="A706" s="1">
        <v>87.96</v>
      </c>
      <c r="B706" s="1">
        <v>21.22</v>
      </c>
    </row>
    <row r="707" spans="1:2" ht="15.6" x14ac:dyDescent="0.3">
      <c r="A707" s="1">
        <v>56.46</v>
      </c>
      <c r="B707" s="1">
        <v>30.55</v>
      </c>
    </row>
    <row r="708" spans="1:2" ht="15.6" x14ac:dyDescent="0.3">
      <c r="A708" s="1">
        <v>41.94</v>
      </c>
      <c r="B708" s="1">
        <v>21.96</v>
      </c>
    </row>
    <row r="709" spans="1:2" ht="15.6" x14ac:dyDescent="0.3">
      <c r="A709" s="1">
        <v>31.48</v>
      </c>
      <c r="B709" s="1">
        <v>37.74</v>
      </c>
    </row>
    <row r="710" spans="1:2" ht="15.6" x14ac:dyDescent="0.3">
      <c r="A710" s="1">
        <v>61.7</v>
      </c>
      <c r="B710" s="1">
        <v>70.319999999999993</v>
      </c>
    </row>
    <row r="711" spans="1:2" ht="15.6" x14ac:dyDescent="0.3">
      <c r="A711" s="1">
        <v>65.69</v>
      </c>
      <c r="B711" s="1">
        <v>31.39</v>
      </c>
    </row>
    <row r="712" spans="1:2" ht="15.6" x14ac:dyDescent="0.3">
      <c r="A712" s="1">
        <v>16.62</v>
      </c>
      <c r="B712" s="1">
        <v>41.23</v>
      </c>
    </row>
    <row r="713" spans="1:2" ht="15.6" x14ac:dyDescent="0.3">
      <c r="A713" s="1">
        <v>58.51</v>
      </c>
      <c r="B713" s="1">
        <v>38.450000000000003</v>
      </c>
    </row>
    <row r="714" spans="1:2" ht="15.6" x14ac:dyDescent="0.3">
      <c r="A714" s="1">
        <v>73.989999999999995</v>
      </c>
      <c r="B714" s="1">
        <v>24.54</v>
      </c>
    </row>
    <row r="715" spans="1:2" ht="15.6" x14ac:dyDescent="0.3">
      <c r="A715" s="1">
        <v>26.61</v>
      </c>
      <c r="B715" s="1">
        <v>57.83</v>
      </c>
    </row>
    <row r="716" spans="1:2" ht="15.6" x14ac:dyDescent="0.3">
      <c r="A716" s="1">
        <v>16.8</v>
      </c>
      <c r="B716" s="1">
        <v>68.94</v>
      </c>
    </row>
    <row r="717" spans="1:2" ht="15.6" x14ac:dyDescent="0.3">
      <c r="A717" s="1">
        <v>34.17</v>
      </c>
      <c r="B717" s="1">
        <v>43.06</v>
      </c>
    </row>
    <row r="718" spans="1:2" ht="15.6" x14ac:dyDescent="0.3">
      <c r="A718" s="1">
        <v>45.38</v>
      </c>
      <c r="B718" s="1">
        <v>58.95</v>
      </c>
    </row>
    <row r="719" spans="1:2" ht="15.6" x14ac:dyDescent="0.3">
      <c r="A719" s="1">
        <v>68.38</v>
      </c>
      <c r="B719" s="1">
        <v>16.13</v>
      </c>
    </row>
    <row r="720" spans="1:2" ht="15.6" x14ac:dyDescent="0.3">
      <c r="A720" s="1">
        <v>63.65</v>
      </c>
      <c r="B720" s="1">
        <v>38.01</v>
      </c>
    </row>
    <row r="721" spans="1:2" ht="15.6" x14ac:dyDescent="0.3">
      <c r="A721" s="1">
        <v>31.96</v>
      </c>
      <c r="B721" s="1">
        <v>8.1999999999999993</v>
      </c>
    </row>
    <row r="722" spans="1:2" ht="15.6" x14ac:dyDescent="0.3">
      <c r="A722" s="1">
        <v>23.59</v>
      </c>
      <c r="B722" s="1">
        <v>36.85</v>
      </c>
    </row>
    <row r="723" spans="1:2" ht="15.6" x14ac:dyDescent="0.3">
      <c r="A723" s="1">
        <v>38.549999999999997</v>
      </c>
      <c r="B723" s="1">
        <v>36.950000000000003</v>
      </c>
    </row>
    <row r="724" spans="1:2" ht="15.6" x14ac:dyDescent="0.3">
      <c r="A724" s="1">
        <v>52.92</v>
      </c>
      <c r="B724" s="1">
        <v>5.1100000000000003</v>
      </c>
    </row>
    <row r="725" spans="1:2" ht="15.6" x14ac:dyDescent="0.3">
      <c r="A725" s="1">
        <v>71.87</v>
      </c>
      <c r="B725" s="1">
        <v>17.850000000000001</v>
      </c>
    </row>
    <row r="726" spans="1:2" ht="15.6" x14ac:dyDescent="0.3">
      <c r="A726" s="1">
        <v>61.18</v>
      </c>
      <c r="B726" s="1">
        <v>35.6</v>
      </c>
    </row>
    <row r="727" spans="1:2" ht="15.6" x14ac:dyDescent="0.3">
      <c r="A727" s="1">
        <v>83.87</v>
      </c>
      <c r="B727" s="1">
        <v>25.09</v>
      </c>
    </row>
    <row r="728" spans="1:2" ht="15.6" x14ac:dyDescent="0.3">
      <c r="A728" s="1">
        <v>41.58</v>
      </c>
      <c r="B728" s="1">
        <v>70.44</v>
      </c>
    </row>
    <row r="729" spans="1:2" ht="15.6" x14ac:dyDescent="0.3">
      <c r="A729" s="1">
        <v>42.14</v>
      </c>
      <c r="B729" s="1">
        <v>8.39</v>
      </c>
    </row>
    <row r="730" spans="1:2" ht="15.6" x14ac:dyDescent="0.3">
      <c r="A730" s="1">
        <v>86.41</v>
      </c>
      <c r="B730" s="1">
        <v>19.45</v>
      </c>
    </row>
    <row r="731" spans="1:2" ht="15.6" x14ac:dyDescent="0.3">
      <c r="A731" s="1">
        <v>23.1</v>
      </c>
      <c r="B731" s="1">
        <v>31.35</v>
      </c>
    </row>
    <row r="732" spans="1:2" ht="15.6" x14ac:dyDescent="0.3">
      <c r="A732" s="1">
        <v>55.97</v>
      </c>
      <c r="B732" s="1">
        <v>57.62</v>
      </c>
    </row>
    <row r="733" spans="1:2" ht="15.6" x14ac:dyDescent="0.3">
      <c r="A733" s="1">
        <v>47.8</v>
      </c>
      <c r="B733" s="1">
        <v>79.099999999999994</v>
      </c>
    </row>
    <row r="734" spans="1:2" ht="15.6" x14ac:dyDescent="0.3">
      <c r="A734" s="1">
        <v>32.1</v>
      </c>
      <c r="B734" s="1">
        <v>74.95</v>
      </c>
    </row>
    <row r="735" spans="1:2" ht="15.6" x14ac:dyDescent="0.3">
      <c r="A735" s="1">
        <v>51.28</v>
      </c>
      <c r="B735" s="1">
        <v>78.040000000000006</v>
      </c>
    </row>
    <row r="736" spans="1:2" ht="15.6" x14ac:dyDescent="0.3">
      <c r="A736" s="1">
        <v>34.72</v>
      </c>
      <c r="B736" s="1">
        <v>70.31</v>
      </c>
    </row>
    <row r="737" spans="1:2" ht="15.6" x14ac:dyDescent="0.3">
      <c r="A737" s="1">
        <v>35.28</v>
      </c>
      <c r="B737" s="1">
        <v>56.68</v>
      </c>
    </row>
    <row r="738" spans="1:2" ht="15.6" x14ac:dyDescent="0.3">
      <c r="A738" s="1">
        <v>27.11</v>
      </c>
      <c r="B738" s="1">
        <v>28.39</v>
      </c>
    </row>
    <row r="739" spans="1:2" ht="15.6" x14ac:dyDescent="0.3">
      <c r="A739" s="1">
        <v>37.01</v>
      </c>
      <c r="B739" s="1">
        <v>6.71</v>
      </c>
    </row>
    <row r="740" spans="1:2" ht="15.6" x14ac:dyDescent="0.3">
      <c r="A740" s="1">
        <v>72.709999999999994</v>
      </c>
      <c r="B740" s="1">
        <v>35.81</v>
      </c>
    </row>
    <row r="741" spans="1:2" ht="15.6" x14ac:dyDescent="0.3">
      <c r="A741" s="1">
        <v>81.790000000000006</v>
      </c>
      <c r="B741" s="1">
        <v>52.51</v>
      </c>
    </row>
    <row r="742" spans="1:2" ht="15.6" x14ac:dyDescent="0.3">
      <c r="A742" s="1">
        <v>86.17</v>
      </c>
      <c r="B742" s="1">
        <v>35.56</v>
      </c>
    </row>
    <row r="743" spans="1:2" ht="15.6" x14ac:dyDescent="0.3">
      <c r="A743" s="1">
        <v>50.19</v>
      </c>
      <c r="B743" s="1">
        <v>32.36</v>
      </c>
    </row>
    <row r="744" spans="1:2" ht="15.6" x14ac:dyDescent="0.3">
      <c r="A744" s="1">
        <v>77.489999999999995</v>
      </c>
      <c r="B744" s="1">
        <v>74.72</v>
      </c>
    </row>
    <row r="745" spans="1:2" ht="15.6" x14ac:dyDescent="0.3">
      <c r="A745" s="1">
        <v>19.649999999999999</v>
      </c>
      <c r="B745" s="1">
        <v>32.979999999999997</v>
      </c>
    </row>
    <row r="746" spans="1:2" ht="15.6" x14ac:dyDescent="0.3">
      <c r="A746" s="1">
        <v>16.579999999999998</v>
      </c>
      <c r="B746" s="1">
        <v>37.9</v>
      </c>
    </row>
    <row r="747" spans="1:2" ht="15.6" x14ac:dyDescent="0.3">
      <c r="A747" s="1">
        <v>84.18</v>
      </c>
      <c r="B747" s="1">
        <v>61.24</v>
      </c>
    </row>
    <row r="748" spans="1:2" ht="15.6" x14ac:dyDescent="0.3">
      <c r="A748" s="1">
        <v>10.55</v>
      </c>
      <c r="B748" s="1">
        <v>74.069999999999993</v>
      </c>
    </row>
    <row r="749" spans="1:2" ht="15.6" x14ac:dyDescent="0.3">
      <c r="A749" s="1">
        <v>50.18</v>
      </c>
      <c r="B749" s="1">
        <v>31.94</v>
      </c>
    </row>
    <row r="750" spans="1:2" ht="15.6" x14ac:dyDescent="0.3">
      <c r="A750" s="1">
        <v>60.61</v>
      </c>
      <c r="B750" s="1">
        <v>32.01</v>
      </c>
    </row>
    <row r="751" spans="1:2" ht="15.6" x14ac:dyDescent="0.3">
      <c r="A751" s="1">
        <v>44.92</v>
      </c>
      <c r="B751" s="1">
        <v>9.51</v>
      </c>
    </row>
    <row r="752" spans="1:2" ht="15.6" x14ac:dyDescent="0.3">
      <c r="A752" s="1">
        <v>33.35</v>
      </c>
      <c r="B752" s="1">
        <v>26.51</v>
      </c>
    </row>
    <row r="753" spans="1:2" ht="15.6" x14ac:dyDescent="0.3">
      <c r="A753" s="1">
        <v>24.22</v>
      </c>
      <c r="B753" s="1">
        <v>78.510000000000005</v>
      </c>
    </row>
    <row r="754" spans="1:2" ht="15.6" x14ac:dyDescent="0.3">
      <c r="A754" s="1">
        <v>86.2</v>
      </c>
      <c r="B754" s="1">
        <v>9.66</v>
      </c>
    </row>
    <row r="755" spans="1:2" ht="15.6" x14ac:dyDescent="0.3">
      <c r="A755" s="1">
        <v>58.88</v>
      </c>
      <c r="B755" s="1">
        <v>39.340000000000003</v>
      </c>
    </row>
    <row r="756" spans="1:2" ht="15.6" x14ac:dyDescent="0.3">
      <c r="A756" s="1">
        <v>29.51</v>
      </c>
      <c r="B756" s="1">
        <v>34.17</v>
      </c>
    </row>
    <row r="757" spans="1:2" ht="15.6" x14ac:dyDescent="0.3">
      <c r="A757" s="1">
        <v>89.15</v>
      </c>
      <c r="B757" s="1">
        <v>8.35</v>
      </c>
    </row>
    <row r="758" spans="1:2" ht="15.6" x14ac:dyDescent="0.3">
      <c r="A758" s="1">
        <v>67.94</v>
      </c>
      <c r="B758" s="1">
        <v>64.349999999999994</v>
      </c>
    </row>
    <row r="759" spans="1:2" ht="15.6" x14ac:dyDescent="0.3">
      <c r="A759" s="1">
        <v>38.78</v>
      </c>
      <c r="B759" s="1">
        <v>52.29</v>
      </c>
    </row>
    <row r="760" spans="1:2" ht="15.6" x14ac:dyDescent="0.3">
      <c r="A760" s="1">
        <v>26.92</v>
      </c>
      <c r="B760" s="1">
        <v>48.56</v>
      </c>
    </row>
    <row r="761" spans="1:2" ht="15.6" x14ac:dyDescent="0.3">
      <c r="A761" s="1">
        <v>35.43</v>
      </c>
      <c r="B761" s="1">
        <v>41.2</v>
      </c>
    </row>
    <row r="762" spans="1:2" ht="15.6" x14ac:dyDescent="0.3">
      <c r="A762" s="1">
        <v>69.53</v>
      </c>
      <c r="B762" s="1">
        <v>5.34</v>
      </c>
    </row>
    <row r="763" spans="1:2" ht="15.6" x14ac:dyDescent="0.3">
      <c r="A763" s="1">
        <v>17.079999999999998</v>
      </c>
      <c r="B763" s="1">
        <v>58.23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3169-C5C5-4691-9CC6-D6F134F5E57E}">
  <dimension ref="A1:L7"/>
  <sheetViews>
    <sheetView workbookViewId="0">
      <selection activeCell="C6" sqref="C6"/>
    </sheetView>
  </sheetViews>
  <sheetFormatPr defaultRowHeight="14.4" x14ac:dyDescent="0.3"/>
  <cols>
    <col min="1" max="1" width="17.6640625" bestFit="1" customWidth="1"/>
    <col min="2" max="2" width="27.77734375" bestFit="1" customWidth="1"/>
    <col min="3" max="3" width="24.88671875" bestFit="1" customWidth="1"/>
  </cols>
  <sheetData>
    <row r="1" spans="1:12" ht="15.6" x14ac:dyDescent="0.3">
      <c r="A1" s="11" t="s">
        <v>815</v>
      </c>
      <c r="B1" s="10" t="s">
        <v>808</v>
      </c>
      <c r="C1" s="8"/>
      <c r="E1" s="3">
        <v>4</v>
      </c>
      <c r="F1" s="3" t="s">
        <v>809</v>
      </c>
      <c r="G1" s="3"/>
      <c r="H1" s="3"/>
      <c r="I1" s="3"/>
      <c r="J1" s="3"/>
      <c r="K1" s="3"/>
      <c r="L1" s="3"/>
    </row>
    <row r="2" spans="1:12" x14ac:dyDescent="0.3">
      <c r="A2" s="12" t="s">
        <v>810</v>
      </c>
      <c r="B2" s="13">
        <v>45.899860139860117</v>
      </c>
      <c r="C2" s="8"/>
    </row>
    <row r="3" spans="1:12" x14ac:dyDescent="0.3">
      <c r="A3" s="12" t="s">
        <v>811</v>
      </c>
      <c r="B3" s="13">
        <v>42.439999999999969</v>
      </c>
      <c r="C3" s="8"/>
    </row>
    <row r="4" spans="1:12" x14ac:dyDescent="0.3">
      <c r="A4" s="12" t="s">
        <v>812</v>
      </c>
      <c r="B4" s="13">
        <v>42.771776315789474</v>
      </c>
      <c r="C4" s="8"/>
    </row>
    <row r="5" spans="1:12" x14ac:dyDescent="0.3">
      <c r="A5" s="12" t="s">
        <v>813</v>
      </c>
      <c r="B5" s="13">
        <v>41.905771812080523</v>
      </c>
      <c r="C5" s="8"/>
    </row>
    <row r="6" spans="1:12" x14ac:dyDescent="0.3">
      <c r="A6" s="12" t="s">
        <v>814</v>
      </c>
      <c r="B6" s="13">
        <v>39.496050955414027</v>
      </c>
      <c r="C6" s="8"/>
    </row>
    <row r="7" spans="1:12" x14ac:dyDescent="0.3">
      <c r="A7" s="12" t="s">
        <v>800</v>
      </c>
      <c r="B7" s="13">
        <v>42.444448818897641</v>
      </c>
      <c r="C7" s="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4E48-2B0A-4509-B4A0-87851CD6D758}">
  <dimension ref="A1:AH167"/>
  <sheetViews>
    <sheetView topLeftCell="S1" workbookViewId="0">
      <selection activeCell="P14" sqref="P14"/>
    </sheetView>
  </sheetViews>
  <sheetFormatPr defaultRowHeight="14.4" x14ac:dyDescent="0.3"/>
  <cols>
    <col min="1" max="1" width="11" bestFit="1" customWidth="1"/>
    <col min="2" max="2" width="11.6640625" bestFit="1" customWidth="1"/>
    <col min="3" max="3" width="11.5546875" bestFit="1" customWidth="1"/>
    <col min="4" max="4" width="9.21875" customWidth="1"/>
    <col min="5" max="5" width="10.88671875" bestFit="1" customWidth="1"/>
    <col min="7" max="7" width="11" bestFit="1" customWidth="1"/>
    <col min="8" max="8" width="11.6640625" bestFit="1" customWidth="1"/>
    <col min="9" max="9" width="11.5546875" bestFit="1" customWidth="1"/>
    <col min="10" max="10" width="6.109375" customWidth="1"/>
    <col min="11" max="11" width="10.88671875" bestFit="1" customWidth="1"/>
    <col min="15" max="15" width="15.44140625" customWidth="1"/>
    <col min="16" max="16" width="9.44140625" bestFit="1" customWidth="1"/>
    <col min="17" max="18" width="10" bestFit="1" customWidth="1"/>
    <col min="19" max="19" width="12.77734375" customWidth="1"/>
    <col min="20" max="20" width="10.21875" customWidth="1"/>
    <col min="22" max="22" width="11" bestFit="1" customWidth="1"/>
    <col min="23" max="23" width="11.6640625" bestFit="1" customWidth="1"/>
    <col min="24" max="24" width="11.5546875" bestFit="1" customWidth="1"/>
    <col min="25" max="25" width="4.44140625" bestFit="1" customWidth="1"/>
    <col min="26" max="26" width="10.88671875" bestFit="1" customWidth="1"/>
    <col min="29" max="29" width="21.88671875" customWidth="1"/>
    <col min="30" max="30" width="11" bestFit="1" customWidth="1"/>
    <col min="31" max="31" width="11.6640625" bestFit="1" customWidth="1"/>
    <col min="32" max="32" width="11.5546875" bestFit="1" customWidth="1"/>
    <col min="33" max="33" width="9.5546875" customWidth="1"/>
    <col min="34" max="34" width="10.88671875" bestFit="1" customWidth="1"/>
  </cols>
  <sheetData>
    <row r="1" spans="1:34" ht="15.6" x14ac:dyDescent="0.3">
      <c r="A1" t="s">
        <v>834</v>
      </c>
      <c r="O1" s="3" t="s">
        <v>803</v>
      </c>
      <c r="V1" s="3" t="s">
        <v>821</v>
      </c>
    </row>
    <row r="3" spans="1:34" ht="15.6" x14ac:dyDescent="0.3">
      <c r="A3" s="1" t="s">
        <v>15</v>
      </c>
      <c r="B3" s="1" t="s">
        <v>22</v>
      </c>
      <c r="C3" s="1" t="s">
        <v>32</v>
      </c>
      <c r="D3" s="1" t="s">
        <v>37</v>
      </c>
      <c r="E3" s="1" t="s">
        <v>48</v>
      </c>
      <c r="G3" s="1" t="s">
        <v>15</v>
      </c>
      <c r="H3" s="1" t="s">
        <v>22</v>
      </c>
      <c r="I3" s="1" t="s">
        <v>32</v>
      </c>
      <c r="J3" s="1" t="s">
        <v>37</v>
      </c>
      <c r="K3" s="1" t="s">
        <v>48</v>
      </c>
      <c r="O3" s="1"/>
      <c r="P3" s="1" t="s">
        <v>15</v>
      </c>
      <c r="Q3" s="1" t="s">
        <v>22</v>
      </c>
      <c r="R3" s="1" t="s">
        <v>32</v>
      </c>
      <c r="S3" s="1" t="s">
        <v>37</v>
      </c>
      <c r="T3" s="1" t="s">
        <v>48</v>
      </c>
      <c r="V3" s="1" t="s">
        <v>15</v>
      </c>
      <c r="W3" s="1" t="s">
        <v>22</v>
      </c>
      <c r="X3" s="1" t="s">
        <v>32</v>
      </c>
      <c r="Y3" s="1" t="s">
        <v>37</v>
      </c>
      <c r="Z3" s="1" t="s">
        <v>48</v>
      </c>
      <c r="AC3" s="1"/>
      <c r="AD3" s="1" t="s">
        <v>15</v>
      </c>
      <c r="AE3" s="1" t="s">
        <v>22</v>
      </c>
      <c r="AF3" s="1" t="s">
        <v>32</v>
      </c>
      <c r="AG3" s="1" t="s">
        <v>37</v>
      </c>
      <c r="AH3" s="1" t="s">
        <v>48</v>
      </c>
    </row>
    <row r="4" spans="1:34" ht="15.6" x14ac:dyDescent="0.3">
      <c r="A4" s="1">
        <v>70</v>
      </c>
      <c r="B4" s="1">
        <v>462</v>
      </c>
      <c r="C4" s="1">
        <v>464</v>
      </c>
      <c r="D4" s="1">
        <v>191</v>
      </c>
      <c r="E4" s="1">
        <v>354</v>
      </c>
      <c r="G4" s="1">
        <v>70</v>
      </c>
      <c r="H4" s="1">
        <v>462</v>
      </c>
      <c r="I4" s="1">
        <v>464</v>
      </c>
      <c r="J4" s="1">
        <v>191</v>
      </c>
      <c r="K4" s="1">
        <v>354</v>
      </c>
      <c r="O4" s="1" t="s">
        <v>816</v>
      </c>
      <c r="P4" s="1">
        <f>AVERAGE(A4:A147)</f>
        <v>248.20833333333334</v>
      </c>
      <c r="Q4" s="1">
        <f>AVERAGE(B4:B162)</f>
        <v>269.23899371069183</v>
      </c>
      <c r="R4" s="1">
        <f>AVERAGE(C4:C158)</f>
        <v>241.84516129032258</v>
      </c>
      <c r="S4" s="1">
        <f>AVERAGE(D4:D143)</f>
        <v>258.95</v>
      </c>
      <c r="T4" s="1">
        <f>AVERAGE(E4:E167)</f>
        <v>264.85975609756099</v>
      </c>
      <c r="V4" s="1">
        <v>70</v>
      </c>
      <c r="W4" s="1">
        <v>462</v>
      </c>
      <c r="X4" s="1">
        <v>464</v>
      </c>
      <c r="Y4" s="1">
        <v>191</v>
      </c>
      <c r="Z4" s="1">
        <v>354</v>
      </c>
      <c r="AC4" s="1" t="s">
        <v>823</v>
      </c>
      <c r="AD4" s="1">
        <f>MIN(V4:V147)</f>
        <v>2</v>
      </c>
      <c r="AE4" s="1">
        <f>MIN(W4:W147)</f>
        <v>1</v>
      </c>
      <c r="AF4" s="1">
        <f>MIN(X4:X147)</f>
        <v>1</v>
      </c>
      <c r="AG4" s="1">
        <f>MIN(Y4:Y143)</f>
        <v>6</v>
      </c>
      <c r="AH4" s="1">
        <f>MIN(Z4:Z147)</f>
        <v>4</v>
      </c>
    </row>
    <row r="5" spans="1:34" ht="15.6" x14ac:dyDescent="0.3">
      <c r="A5" s="1">
        <v>451</v>
      </c>
      <c r="B5" s="1">
        <v>300</v>
      </c>
      <c r="C5" s="1">
        <v>310</v>
      </c>
      <c r="D5" s="1">
        <v>301</v>
      </c>
      <c r="E5" s="1">
        <v>424</v>
      </c>
      <c r="G5" s="1">
        <v>451</v>
      </c>
      <c r="H5" s="1">
        <v>300</v>
      </c>
      <c r="I5" s="1">
        <v>310</v>
      </c>
      <c r="J5" s="1">
        <v>301</v>
      </c>
      <c r="K5" s="1">
        <v>424</v>
      </c>
      <c r="O5" s="1" t="s">
        <v>817</v>
      </c>
      <c r="P5" s="1">
        <f>MEDIAN(A4:A147)</f>
        <v>240.5</v>
      </c>
      <c r="Q5" s="1">
        <f>MEDIAN(B4:B162)</f>
        <v>269</v>
      </c>
      <c r="R5" s="1">
        <f>MEDIAN(C4:C158)</f>
        <v>220</v>
      </c>
      <c r="S5" s="1">
        <f>MEDIAN(D4:D143)</f>
        <v>257</v>
      </c>
      <c r="T5" s="1">
        <f>MEDIAN(E4:E167)</f>
        <v>271</v>
      </c>
      <c r="V5" s="1">
        <v>451</v>
      </c>
      <c r="W5" s="1">
        <v>300</v>
      </c>
      <c r="X5" s="1">
        <v>310</v>
      </c>
      <c r="Y5" s="1">
        <v>301</v>
      </c>
      <c r="Z5" s="1">
        <v>424</v>
      </c>
      <c r="AC5" s="1" t="s">
        <v>824</v>
      </c>
      <c r="AD5" s="1">
        <f>MAX(V4:V147)</f>
        <v>487</v>
      </c>
      <c r="AE5" s="1">
        <f>MAX(W4:W147)</f>
        <v>652</v>
      </c>
      <c r="AF5" s="1">
        <f>MAX(X4:X147)</f>
        <v>721</v>
      </c>
      <c r="AG5" s="1">
        <f>MAX(Y4:Y143)</f>
        <v>760</v>
      </c>
      <c r="AH5" s="1">
        <f>MAX(Z4:Z147)</f>
        <v>737</v>
      </c>
    </row>
    <row r="6" spans="1:34" ht="15.6" x14ac:dyDescent="0.3">
      <c r="A6" s="1">
        <v>102</v>
      </c>
      <c r="B6" s="1">
        <v>153</v>
      </c>
      <c r="C6" s="1">
        <v>171</v>
      </c>
      <c r="D6" s="1">
        <v>165</v>
      </c>
      <c r="E6" s="1">
        <v>417</v>
      </c>
      <c r="G6" s="1">
        <v>102</v>
      </c>
      <c r="H6" s="1">
        <v>153</v>
      </c>
      <c r="I6" s="1">
        <v>171</v>
      </c>
      <c r="J6" s="1">
        <v>165</v>
      </c>
      <c r="K6" s="1">
        <v>417</v>
      </c>
      <c r="O6" s="1" t="s">
        <v>818</v>
      </c>
      <c r="P6" s="1">
        <f>MODE(A4:A147)</f>
        <v>369</v>
      </c>
      <c r="Q6" s="1">
        <f>MODE(B4:B162)</f>
        <v>291</v>
      </c>
      <c r="R6" s="1">
        <f>MODE(C4:C158)</f>
        <v>31</v>
      </c>
      <c r="S6" s="1">
        <f>MODE(D4:D143)</f>
        <v>333</v>
      </c>
      <c r="T6" s="1">
        <f>MODE(E4:E167)</f>
        <v>321</v>
      </c>
      <c r="V6" s="1">
        <v>102</v>
      </c>
      <c r="W6" s="1">
        <v>153</v>
      </c>
      <c r="X6" s="1">
        <v>171</v>
      </c>
      <c r="Y6" s="1">
        <v>165</v>
      </c>
      <c r="Z6" s="1">
        <v>417</v>
      </c>
      <c r="AC6" s="1" t="s">
        <v>825</v>
      </c>
      <c r="AD6" s="1">
        <f>AD5-AD4</f>
        <v>485</v>
      </c>
      <c r="AE6" s="1">
        <f t="shared" ref="AE6:AH6" si="0">AE5-AE4</f>
        <v>651</v>
      </c>
      <c r="AF6" s="1">
        <f t="shared" si="0"/>
        <v>720</v>
      </c>
      <c r="AG6" s="1">
        <f t="shared" si="0"/>
        <v>754</v>
      </c>
      <c r="AH6" s="1">
        <f t="shared" si="0"/>
        <v>733</v>
      </c>
    </row>
    <row r="7" spans="1:34" ht="15.6" x14ac:dyDescent="0.3">
      <c r="A7" s="1">
        <v>274</v>
      </c>
      <c r="B7" s="1">
        <v>419</v>
      </c>
      <c r="C7" s="1">
        <v>198</v>
      </c>
      <c r="D7" s="1">
        <v>88</v>
      </c>
      <c r="E7" s="1">
        <v>348</v>
      </c>
      <c r="G7" s="1">
        <v>274</v>
      </c>
      <c r="H7" s="1">
        <v>419</v>
      </c>
      <c r="I7" s="1">
        <v>198</v>
      </c>
      <c r="J7" s="1">
        <v>88</v>
      </c>
      <c r="K7" s="1">
        <v>348</v>
      </c>
      <c r="V7" s="1">
        <v>274</v>
      </c>
      <c r="W7" s="1">
        <v>419</v>
      </c>
      <c r="X7" s="1">
        <v>198</v>
      </c>
      <c r="Y7" s="1">
        <v>88</v>
      </c>
      <c r="Z7" s="1">
        <v>348</v>
      </c>
      <c r="AC7" s="1" t="s">
        <v>826</v>
      </c>
      <c r="AD7" s="1">
        <f>_xlfn.VAR.P(V4:V147)</f>
        <v>20570.484375</v>
      </c>
      <c r="AE7" s="1">
        <f>_xlfn.VAR.P(W4:W147)</f>
        <v>19531.805362654322</v>
      </c>
      <c r="AF7" s="1">
        <f>_xlfn.VAR.P(X4:X147)</f>
        <v>22471.601658950618</v>
      </c>
      <c r="AG7" s="1">
        <f>_xlfn.VAR.P(Y4:Y143)</f>
        <v>25508.894438775511</v>
      </c>
      <c r="AH7" s="1">
        <f>_xlfn.VAR.P(Z4:Z147)</f>
        <v>20689.322482638891</v>
      </c>
    </row>
    <row r="8" spans="1:34" ht="15.6" x14ac:dyDescent="0.3">
      <c r="A8" s="1">
        <v>193</v>
      </c>
      <c r="B8" s="1">
        <v>112</v>
      </c>
      <c r="C8" s="1">
        <v>84</v>
      </c>
      <c r="D8" s="1">
        <v>97</v>
      </c>
      <c r="E8" s="1">
        <v>274</v>
      </c>
      <c r="G8" s="1">
        <v>193</v>
      </c>
      <c r="H8" s="1">
        <v>112</v>
      </c>
      <c r="I8" s="1">
        <v>84</v>
      </c>
      <c r="J8" s="1">
        <v>97</v>
      </c>
      <c r="K8" s="1">
        <v>274</v>
      </c>
      <c r="V8" s="1">
        <v>193</v>
      </c>
      <c r="W8" s="1">
        <v>112</v>
      </c>
      <c r="X8" s="1">
        <v>84</v>
      </c>
      <c r="Y8" s="1">
        <v>97</v>
      </c>
      <c r="Z8" s="1">
        <v>274</v>
      </c>
      <c r="AC8" s="1" t="s">
        <v>827</v>
      </c>
      <c r="AD8" s="1">
        <f>SQRT(AD7)</f>
        <v>143.42414153481971</v>
      </c>
      <c r="AE8" s="1">
        <f t="shared" ref="AE8:AH8" si="1">SQRT(AE7)</f>
        <v>139.75623550544827</v>
      </c>
      <c r="AF8" s="1">
        <f t="shared" si="1"/>
        <v>149.90530897520148</v>
      </c>
      <c r="AG8" s="1">
        <f t="shared" si="1"/>
        <v>159.7150413667276</v>
      </c>
      <c r="AH8" s="1">
        <f t="shared" si="1"/>
        <v>143.83783397506684</v>
      </c>
    </row>
    <row r="9" spans="1:34" ht="15.6" x14ac:dyDescent="0.3">
      <c r="A9" s="1">
        <v>85</v>
      </c>
      <c r="B9" s="1">
        <v>435</v>
      </c>
      <c r="C9" s="1">
        <v>130</v>
      </c>
      <c r="D9" s="1">
        <v>226</v>
      </c>
      <c r="E9" s="1">
        <v>491</v>
      </c>
      <c r="G9" s="1">
        <v>85</v>
      </c>
      <c r="H9" s="1">
        <v>435</v>
      </c>
      <c r="I9" s="1">
        <v>130</v>
      </c>
      <c r="J9" s="1">
        <v>226</v>
      </c>
      <c r="K9" s="1">
        <v>491</v>
      </c>
      <c r="O9" s="1"/>
      <c r="P9" s="1" t="s">
        <v>15</v>
      </c>
      <c r="Q9" s="1" t="s">
        <v>22</v>
      </c>
      <c r="R9" s="1" t="s">
        <v>32</v>
      </c>
      <c r="S9" s="1" t="s">
        <v>37</v>
      </c>
      <c r="T9" s="1" t="s">
        <v>48</v>
      </c>
      <c r="V9" s="1">
        <v>85</v>
      </c>
      <c r="W9" s="1">
        <v>435</v>
      </c>
      <c r="X9" s="1">
        <v>130</v>
      </c>
      <c r="Y9" s="1">
        <v>226</v>
      </c>
      <c r="Z9" s="1">
        <v>491</v>
      </c>
    </row>
    <row r="10" spans="1:34" ht="15.6" x14ac:dyDescent="0.3">
      <c r="A10" s="1">
        <v>91</v>
      </c>
      <c r="B10" s="1">
        <v>212</v>
      </c>
      <c r="C10" s="1">
        <v>485</v>
      </c>
      <c r="D10" s="1">
        <v>9</v>
      </c>
      <c r="E10" s="1">
        <v>461</v>
      </c>
      <c r="G10" s="1">
        <v>91</v>
      </c>
      <c r="H10" s="1">
        <v>212</v>
      </c>
      <c r="I10" s="1">
        <v>485</v>
      </c>
      <c r="J10" s="1">
        <v>9</v>
      </c>
      <c r="K10" s="1">
        <v>461</v>
      </c>
      <c r="O10" s="1" t="s">
        <v>804</v>
      </c>
      <c r="P10" s="1">
        <f>QUARTILE(A4:A147,1)</f>
        <v>125</v>
      </c>
      <c r="Q10" s="1">
        <f>QUARTILE(B4:B162,1)</f>
        <v>174</v>
      </c>
      <c r="R10" s="1">
        <f>QUARTILE(C4:C158,1)</f>
        <v>119</v>
      </c>
      <c r="S10" s="1">
        <f>QUARTILE(D4:D143,1)</f>
        <v>130.5</v>
      </c>
      <c r="T10" s="1">
        <f>QUARTILE(E4:E167,1)</f>
        <v>140.75</v>
      </c>
      <c r="V10" s="1">
        <v>91</v>
      </c>
      <c r="W10" s="1">
        <v>212</v>
      </c>
      <c r="X10" s="1">
        <v>485</v>
      </c>
      <c r="Y10" s="1">
        <v>9</v>
      </c>
      <c r="Z10" s="1">
        <v>461</v>
      </c>
    </row>
    <row r="11" spans="1:34" ht="15.6" x14ac:dyDescent="0.3">
      <c r="A11" s="1">
        <v>168</v>
      </c>
      <c r="B11" s="1">
        <v>246</v>
      </c>
      <c r="C11" s="1">
        <v>443</v>
      </c>
      <c r="D11" s="1">
        <v>228</v>
      </c>
      <c r="E11" s="1">
        <v>378</v>
      </c>
      <c r="G11" s="1">
        <v>168</v>
      </c>
      <c r="H11" s="1">
        <v>246</v>
      </c>
      <c r="I11" s="1">
        <v>443</v>
      </c>
      <c r="J11" s="1">
        <v>228</v>
      </c>
      <c r="K11" s="1">
        <v>378</v>
      </c>
      <c r="O11" s="1" t="s">
        <v>805</v>
      </c>
      <c r="P11" s="1">
        <f>QUARTILE(A4:A147,3)</f>
        <v>369</v>
      </c>
      <c r="Q11" s="1">
        <f>QUARTILE(B4:B162,3)</f>
        <v>365.5</v>
      </c>
      <c r="R11" s="1">
        <f>QUARTILE(C4:C158,3)</f>
        <v>360</v>
      </c>
      <c r="S11" s="1">
        <f>QUARTILE(D4:D143,3)</f>
        <v>382.5</v>
      </c>
      <c r="T11" s="1">
        <f>QUARTILE(E4:E167,3)</f>
        <v>379.5</v>
      </c>
      <c r="V11" s="1">
        <v>168</v>
      </c>
      <c r="W11" s="1">
        <v>246</v>
      </c>
      <c r="X11" s="1">
        <v>443</v>
      </c>
      <c r="Y11" s="1">
        <v>228</v>
      </c>
      <c r="Z11" s="1">
        <v>378</v>
      </c>
    </row>
    <row r="12" spans="1:34" ht="15.6" x14ac:dyDescent="0.3">
      <c r="A12" s="1">
        <v>44</v>
      </c>
      <c r="B12" s="1">
        <v>377</v>
      </c>
      <c r="C12" s="1">
        <v>31</v>
      </c>
      <c r="D12" s="1">
        <v>333</v>
      </c>
      <c r="E12" s="1">
        <v>226</v>
      </c>
      <c r="G12" s="1">
        <v>44</v>
      </c>
      <c r="H12" s="1">
        <v>377</v>
      </c>
      <c r="I12" s="1">
        <v>31</v>
      </c>
      <c r="J12" s="1">
        <v>333</v>
      </c>
      <c r="K12" s="1">
        <v>226</v>
      </c>
      <c r="O12" s="1" t="s">
        <v>806</v>
      </c>
      <c r="P12" s="1">
        <f>P11-P10</f>
        <v>244</v>
      </c>
      <c r="Q12" s="1">
        <f t="shared" ref="Q12:T12" si="2">Q11-Q10</f>
        <v>191.5</v>
      </c>
      <c r="R12" s="1">
        <f t="shared" si="2"/>
        <v>241</v>
      </c>
      <c r="S12" s="1">
        <f t="shared" si="2"/>
        <v>252</v>
      </c>
      <c r="T12" s="1">
        <f t="shared" si="2"/>
        <v>238.75</v>
      </c>
      <c r="V12" s="1">
        <v>44</v>
      </c>
      <c r="W12" s="1">
        <v>377</v>
      </c>
      <c r="X12" s="1">
        <v>31</v>
      </c>
      <c r="Y12" s="1">
        <v>333</v>
      </c>
      <c r="Z12" s="1">
        <v>226</v>
      </c>
    </row>
    <row r="13" spans="1:34" ht="15.6" x14ac:dyDescent="0.3">
      <c r="A13" s="1">
        <v>482</v>
      </c>
      <c r="B13" s="1">
        <v>245</v>
      </c>
      <c r="C13" s="1">
        <v>421</v>
      </c>
      <c r="D13" s="1">
        <v>437</v>
      </c>
      <c r="E13" s="1">
        <v>248</v>
      </c>
      <c r="G13" s="1">
        <v>482</v>
      </c>
      <c r="H13" s="1">
        <v>245</v>
      </c>
      <c r="I13" s="1">
        <v>421</v>
      </c>
      <c r="J13" s="1">
        <v>437</v>
      </c>
      <c r="K13" s="1">
        <v>248</v>
      </c>
      <c r="O13" s="1" t="s">
        <v>819</v>
      </c>
      <c r="P13" s="1">
        <f>P11+1.5*P12</f>
        <v>735</v>
      </c>
      <c r="Q13" s="1">
        <f t="shared" ref="Q13:T13" si="3">Q11+1.5*Q12</f>
        <v>652.75</v>
      </c>
      <c r="R13" s="1">
        <f t="shared" si="3"/>
        <v>721.5</v>
      </c>
      <c r="S13" s="1">
        <f t="shared" si="3"/>
        <v>760.5</v>
      </c>
      <c r="T13" s="1">
        <f t="shared" si="3"/>
        <v>737.625</v>
      </c>
      <c r="V13" s="1">
        <v>482</v>
      </c>
      <c r="W13" s="1">
        <v>245</v>
      </c>
      <c r="X13" s="1">
        <v>421</v>
      </c>
      <c r="Y13" s="1">
        <v>437</v>
      </c>
      <c r="Z13" s="1">
        <v>248</v>
      </c>
    </row>
    <row r="14" spans="1:34" ht="15.6" x14ac:dyDescent="0.3">
      <c r="A14" s="1">
        <v>431</v>
      </c>
      <c r="B14" s="1">
        <v>307</v>
      </c>
      <c r="C14" s="1">
        <v>448</v>
      </c>
      <c r="D14" s="1">
        <v>428</v>
      </c>
      <c r="E14" s="1">
        <v>87</v>
      </c>
      <c r="G14" s="1">
        <v>431</v>
      </c>
      <c r="H14" s="1">
        <v>307</v>
      </c>
      <c r="I14" s="1">
        <v>448</v>
      </c>
      <c r="J14" s="1">
        <v>428</v>
      </c>
      <c r="K14" s="1">
        <v>87</v>
      </c>
      <c r="O14" s="1" t="s">
        <v>820</v>
      </c>
      <c r="P14" s="1">
        <f>P10-1.5*P12</f>
        <v>-241</v>
      </c>
      <c r="Q14" s="1">
        <f t="shared" ref="Q14:T14" si="4">Q10-1.5*Q12</f>
        <v>-113.25</v>
      </c>
      <c r="R14" s="1">
        <f t="shared" si="4"/>
        <v>-242.5</v>
      </c>
      <c r="S14" s="1">
        <f t="shared" si="4"/>
        <v>-247.5</v>
      </c>
      <c r="T14" s="1">
        <f t="shared" si="4"/>
        <v>-217.375</v>
      </c>
      <c r="V14" s="1">
        <v>431</v>
      </c>
      <c r="W14" s="1">
        <v>307</v>
      </c>
      <c r="X14" s="1">
        <v>448</v>
      </c>
      <c r="Y14" s="1">
        <v>428</v>
      </c>
      <c r="Z14" s="1">
        <v>87</v>
      </c>
    </row>
    <row r="15" spans="1:34" ht="15.6" x14ac:dyDescent="0.3">
      <c r="A15" s="1">
        <v>433</v>
      </c>
      <c r="B15" s="1">
        <v>243</v>
      </c>
      <c r="C15" s="1">
        <v>256</v>
      </c>
      <c r="D15" s="1">
        <v>170</v>
      </c>
      <c r="E15" s="1">
        <v>75</v>
      </c>
      <c r="G15" s="1">
        <v>433</v>
      </c>
      <c r="H15" s="1">
        <v>243</v>
      </c>
      <c r="I15" s="1">
        <v>256</v>
      </c>
      <c r="J15" s="1">
        <v>170</v>
      </c>
      <c r="K15" s="1">
        <v>75</v>
      </c>
      <c r="V15" s="1">
        <v>433</v>
      </c>
      <c r="W15" s="1">
        <v>243</v>
      </c>
      <c r="X15" s="1">
        <v>256</v>
      </c>
      <c r="Y15" s="1">
        <v>170</v>
      </c>
      <c r="Z15" s="1">
        <v>75</v>
      </c>
    </row>
    <row r="16" spans="1:34" ht="15.6" x14ac:dyDescent="0.3">
      <c r="A16" s="1">
        <v>431</v>
      </c>
      <c r="B16" s="1">
        <v>429</v>
      </c>
      <c r="C16" s="1">
        <v>143</v>
      </c>
      <c r="D16" s="1">
        <v>132</v>
      </c>
      <c r="E16" s="1">
        <v>212</v>
      </c>
      <c r="G16" s="1">
        <v>431</v>
      </c>
      <c r="H16" s="1">
        <v>429</v>
      </c>
      <c r="I16" s="1">
        <v>143</v>
      </c>
      <c r="J16" s="1">
        <v>132</v>
      </c>
      <c r="K16" s="1">
        <v>212</v>
      </c>
      <c r="V16" s="1">
        <v>431</v>
      </c>
      <c r="W16" s="1">
        <v>429</v>
      </c>
      <c r="X16" s="1">
        <v>143</v>
      </c>
      <c r="Y16" s="1">
        <v>132</v>
      </c>
      <c r="Z16" s="1">
        <v>212</v>
      </c>
    </row>
    <row r="17" spans="1:26" ht="15.6" x14ac:dyDescent="0.3">
      <c r="A17" s="1">
        <v>7</v>
      </c>
      <c r="B17" s="1">
        <v>240</v>
      </c>
      <c r="C17" s="1">
        <v>237</v>
      </c>
      <c r="D17" s="1">
        <v>99</v>
      </c>
      <c r="E17" s="1">
        <v>69</v>
      </c>
      <c r="G17" s="1">
        <v>7</v>
      </c>
      <c r="H17" s="1">
        <v>240</v>
      </c>
      <c r="I17" s="1">
        <v>237</v>
      </c>
      <c r="J17" s="1">
        <v>99</v>
      </c>
      <c r="K17" s="1">
        <v>69</v>
      </c>
      <c r="O17" s="3" t="s">
        <v>822</v>
      </c>
      <c r="V17" s="1">
        <v>7</v>
      </c>
      <c r="W17" s="1">
        <v>240</v>
      </c>
      <c r="X17" s="1">
        <v>237</v>
      </c>
      <c r="Y17" s="1">
        <v>99</v>
      </c>
      <c r="Z17" s="1">
        <v>69</v>
      </c>
    </row>
    <row r="18" spans="1:26" ht="15.6" x14ac:dyDescent="0.3">
      <c r="A18" s="1">
        <v>363</v>
      </c>
      <c r="B18" s="1">
        <v>222</v>
      </c>
      <c r="C18" s="1">
        <v>236</v>
      </c>
      <c r="D18" s="1">
        <v>183</v>
      </c>
      <c r="E18" s="1">
        <v>343</v>
      </c>
      <c r="G18" s="1">
        <v>363</v>
      </c>
      <c r="H18" s="1">
        <v>222</v>
      </c>
      <c r="I18" s="1">
        <v>236</v>
      </c>
      <c r="J18" s="1">
        <v>183</v>
      </c>
      <c r="K18" s="1">
        <v>343</v>
      </c>
      <c r="V18" s="1">
        <v>363</v>
      </c>
      <c r="W18" s="1">
        <v>222</v>
      </c>
      <c r="X18" s="1">
        <v>236</v>
      </c>
      <c r="Y18" s="1">
        <v>183</v>
      </c>
      <c r="Z18" s="1">
        <v>343</v>
      </c>
    </row>
    <row r="19" spans="1:26" ht="15.6" x14ac:dyDescent="0.3">
      <c r="A19" s="1">
        <v>24</v>
      </c>
      <c r="B19" s="1">
        <v>217</v>
      </c>
      <c r="C19" s="1">
        <v>110</v>
      </c>
      <c r="D19" s="1">
        <v>31</v>
      </c>
      <c r="E19" s="1">
        <v>14</v>
      </c>
      <c r="G19" s="1">
        <v>24</v>
      </c>
      <c r="H19" s="1">
        <v>217</v>
      </c>
      <c r="I19" s="1">
        <v>110</v>
      </c>
      <c r="J19" s="1">
        <v>31</v>
      </c>
      <c r="K19" s="1">
        <v>14</v>
      </c>
      <c r="V19" s="1">
        <v>24</v>
      </c>
      <c r="W19" s="1">
        <v>217</v>
      </c>
      <c r="X19" s="1">
        <v>110</v>
      </c>
      <c r="Y19" s="1">
        <v>31</v>
      </c>
      <c r="Z19" s="1">
        <v>14</v>
      </c>
    </row>
    <row r="20" spans="1:26" ht="15.6" x14ac:dyDescent="0.3">
      <c r="A20" s="1">
        <v>202</v>
      </c>
      <c r="B20" s="1">
        <v>104</v>
      </c>
      <c r="C20" s="1">
        <v>354</v>
      </c>
      <c r="D20" s="1">
        <v>80</v>
      </c>
      <c r="E20" s="1">
        <v>164</v>
      </c>
      <c r="G20" s="1">
        <v>202</v>
      </c>
      <c r="H20" s="1">
        <v>104</v>
      </c>
      <c r="I20" s="1">
        <v>354</v>
      </c>
      <c r="J20" s="1">
        <v>80</v>
      </c>
      <c r="K20" s="1">
        <v>164</v>
      </c>
      <c r="V20" s="1">
        <v>202</v>
      </c>
      <c r="W20" s="1">
        <v>104</v>
      </c>
      <c r="X20" s="1">
        <v>354</v>
      </c>
      <c r="Y20" s="1">
        <v>80</v>
      </c>
      <c r="Z20" s="1">
        <v>164</v>
      </c>
    </row>
    <row r="21" spans="1:26" ht="15.6" x14ac:dyDescent="0.3">
      <c r="A21" s="1">
        <v>348</v>
      </c>
      <c r="B21" s="1">
        <v>108</v>
      </c>
      <c r="C21" s="1">
        <v>160</v>
      </c>
      <c r="D21" s="1">
        <v>223</v>
      </c>
      <c r="E21" s="1">
        <v>243</v>
      </c>
      <c r="G21" s="1">
        <v>348</v>
      </c>
      <c r="H21" s="1">
        <v>108</v>
      </c>
      <c r="I21" s="1">
        <v>160</v>
      </c>
      <c r="J21" s="1">
        <v>223</v>
      </c>
      <c r="K21" s="1">
        <v>243</v>
      </c>
      <c r="V21" s="1">
        <v>348</v>
      </c>
      <c r="W21" s="1">
        <v>108</v>
      </c>
      <c r="X21" s="1">
        <v>160</v>
      </c>
      <c r="Y21" s="1">
        <v>223</v>
      </c>
      <c r="Z21" s="1">
        <v>243</v>
      </c>
    </row>
    <row r="22" spans="1:26" ht="15.6" x14ac:dyDescent="0.3">
      <c r="A22" s="1">
        <v>105</v>
      </c>
      <c r="B22" s="1">
        <v>98</v>
      </c>
      <c r="C22" s="1">
        <v>127</v>
      </c>
      <c r="D22" s="1">
        <v>192</v>
      </c>
      <c r="E22" s="1">
        <v>348</v>
      </c>
      <c r="G22" s="1">
        <v>105</v>
      </c>
      <c r="H22" s="1">
        <v>98</v>
      </c>
      <c r="I22" s="1">
        <v>127</v>
      </c>
      <c r="J22" s="1">
        <v>192</v>
      </c>
      <c r="K22" s="1">
        <v>348</v>
      </c>
      <c r="V22" s="1">
        <v>105</v>
      </c>
      <c r="W22" s="1">
        <v>98</v>
      </c>
      <c r="X22" s="1">
        <v>127</v>
      </c>
      <c r="Y22" s="1">
        <v>192</v>
      </c>
      <c r="Z22" s="1">
        <v>348</v>
      </c>
    </row>
    <row r="23" spans="1:26" ht="15.6" x14ac:dyDescent="0.3">
      <c r="A23" s="1">
        <v>133</v>
      </c>
      <c r="B23" s="1">
        <v>314</v>
      </c>
      <c r="C23" s="1">
        <v>143</v>
      </c>
      <c r="D23" s="1">
        <v>187</v>
      </c>
      <c r="E23" s="1">
        <v>171</v>
      </c>
      <c r="G23" s="1">
        <v>133</v>
      </c>
      <c r="H23" s="1">
        <v>314</v>
      </c>
      <c r="I23" s="1">
        <v>143</v>
      </c>
      <c r="J23" s="1">
        <v>187</v>
      </c>
      <c r="K23" s="1">
        <v>171</v>
      </c>
      <c r="V23" s="1">
        <v>133</v>
      </c>
      <c r="W23" s="1">
        <v>314</v>
      </c>
      <c r="X23" s="1">
        <v>143</v>
      </c>
      <c r="Y23" s="1">
        <v>187</v>
      </c>
      <c r="Z23" s="1">
        <v>171</v>
      </c>
    </row>
    <row r="24" spans="1:26" ht="15.6" x14ac:dyDescent="0.3">
      <c r="A24" s="1">
        <v>119</v>
      </c>
      <c r="B24" s="1">
        <v>289</v>
      </c>
      <c r="C24" s="1">
        <v>154</v>
      </c>
      <c r="D24" s="1">
        <v>294</v>
      </c>
      <c r="E24" s="1">
        <v>306</v>
      </c>
      <c r="G24" s="1">
        <v>119</v>
      </c>
      <c r="H24" s="1">
        <v>289</v>
      </c>
      <c r="I24" s="1">
        <v>154</v>
      </c>
      <c r="J24" s="1">
        <v>294</v>
      </c>
      <c r="K24" s="1">
        <v>306</v>
      </c>
      <c r="V24" s="1">
        <v>119</v>
      </c>
      <c r="W24" s="1">
        <v>289</v>
      </c>
      <c r="X24" s="1">
        <v>154</v>
      </c>
      <c r="Y24" s="1">
        <v>294</v>
      </c>
      <c r="Z24" s="1">
        <v>306</v>
      </c>
    </row>
    <row r="25" spans="1:26" ht="15.6" x14ac:dyDescent="0.3">
      <c r="A25" s="1">
        <v>352</v>
      </c>
      <c r="B25" s="1">
        <v>296</v>
      </c>
      <c r="C25" s="1">
        <v>157</v>
      </c>
      <c r="D25" s="1">
        <v>479</v>
      </c>
      <c r="E25" s="1">
        <v>321</v>
      </c>
      <c r="G25" s="1">
        <v>352</v>
      </c>
      <c r="H25" s="1">
        <v>296</v>
      </c>
      <c r="I25" s="1">
        <v>157</v>
      </c>
      <c r="J25" s="1">
        <v>479</v>
      </c>
      <c r="K25" s="1">
        <v>321</v>
      </c>
      <c r="V25" s="1">
        <v>352</v>
      </c>
      <c r="W25" s="1">
        <v>296</v>
      </c>
      <c r="X25" s="1">
        <v>157</v>
      </c>
      <c r="Y25" s="1">
        <v>479</v>
      </c>
      <c r="Z25" s="1">
        <v>321</v>
      </c>
    </row>
    <row r="26" spans="1:26" ht="15.6" x14ac:dyDescent="0.3">
      <c r="A26" s="1">
        <v>151</v>
      </c>
      <c r="B26" s="1">
        <v>900</v>
      </c>
      <c r="C26" s="1">
        <v>119</v>
      </c>
      <c r="D26" s="1">
        <v>13</v>
      </c>
      <c r="E26" s="1">
        <v>361</v>
      </c>
      <c r="G26" s="1">
        <v>151</v>
      </c>
      <c r="H26" s="1">
        <v>900</v>
      </c>
      <c r="I26" s="1">
        <v>119</v>
      </c>
      <c r="J26" s="1">
        <v>13</v>
      </c>
      <c r="K26" s="1">
        <v>361</v>
      </c>
      <c r="V26" s="1">
        <v>151</v>
      </c>
      <c r="W26" s="1">
        <v>652</v>
      </c>
      <c r="X26" s="1">
        <v>119</v>
      </c>
      <c r="Y26" s="1">
        <v>13</v>
      </c>
      <c r="Z26" s="1">
        <v>361</v>
      </c>
    </row>
    <row r="27" spans="1:26" ht="15.6" x14ac:dyDescent="0.3">
      <c r="A27" s="1">
        <v>213</v>
      </c>
      <c r="B27" s="1">
        <v>192</v>
      </c>
      <c r="C27" s="1">
        <v>183</v>
      </c>
      <c r="D27" s="1">
        <v>369</v>
      </c>
      <c r="E27" s="1">
        <v>333</v>
      </c>
      <c r="G27" s="1">
        <v>213</v>
      </c>
      <c r="H27" s="1">
        <v>192</v>
      </c>
      <c r="I27" s="1">
        <v>183</v>
      </c>
      <c r="J27" s="1">
        <v>369</v>
      </c>
      <c r="K27" s="1">
        <v>333</v>
      </c>
      <c r="V27" s="1">
        <v>213</v>
      </c>
      <c r="W27" s="1">
        <v>192</v>
      </c>
      <c r="X27" s="1">
        <v>183</v>
      </c>
      <c r="Y27" s="1">
        <v>369</v>
      </c>
      <c r="Z27" s="1">
        <v>333</v>
      </c>
    </row>
    <row r="28" spans="1:26" ht="15.6" x14ac:dyDescent="0.3">
      <c r="A28" s="1">
        <v>235</v>
      </c>
      <c r="B28" s="1">
        <v>96</v>
      </c>
      <c r="C28" s="1">
        <v>3</v>
      </c>
      <c r="D28" s="1">
        <v>162</v>
      </c>
      <c r="E28" s="1">
        <v>268</v>
      </c>
      <c r="G28" s="1">
        <v>235</v>
      </c>
      <c r="H28" s="1">
        <v>96</v>
      </c>
      <c r="I28" s="1">
        <v>3</v>
      </c>
      <c r="J28" s="1">
        <v>162</v>
      </c>
      <c r="K28" s="1">
        <v>268</v>
      </c>
      <c r="V28" s="1">
        <v>235</v>
      </c>
      <c r="W28" s="1">
        <v>96</v>
      </c>
      <c r="X28" s="1">
        <v>3</v>
      </c>
      <c r="Y28" s="1">
        <v>162</v>
      </c>
      <c r="Z28" s="1">
        <v>268</v>
      </c>
    </row>
    <row r="29" spans="1:26" ht="15.6" x14ac:dyDescent="0.3">
      <c r="A29" s="1">
        <v>262</v>
      </c>
      <c r="B29" s="1">
        <v>310</v>
      </c>
      <c r="C29" s="1">
        <v>290</v>
      </c>
      <c r="D29" s="1">
        <v>6</v>
      </c>
      <c r="E29" s="1">
        <v>107</v>
      </c>
      <c r="G29" s="1">
        <v>262</v>
      </c>
      <c r="H29" s="1">
        <v>310</v>
      </c>
      <c r="I29" s="1">
        <v>290</v>
      </c>
      <c r="J29" s="1">
        <v>6</v>
      </c>
      <c r="K29" s="1">
        <v>107</v>
      </c>
      <c r="V29" s="1">
        <v>262</v>
      </c>
      <c r="W29" s="1">
        <v>310</v>
      </c>
      <c r="X29" s="1">
        <v>290</v>
      </c>
      <c r="Y29" s="1">
        <v>6</v>
      </c>
      <c r="Z29" s="1">
        <v>107</v>
      </c>
    </row>
    <row r="30" spans="1:26" ht="15.6" x14ac:dyDescent="0.3">
      <c r="A30" s="1">
        <v>484</v>
      </c>
      <c r="B30" s="1">
        <v>403</v>
      </c>
      <c r="C30" s="1">
        <v>366</v>
      </c>
      <c r="D30" s="1">
        <v>412</v>
      </c>
      <c r="E30" s="1">
        <v>436</v>
      </c>
      <c r="G30" s="1">
        <v>484</v>
      </c>
      <c r="H30" s="1">
        <v>403</v>
      </c>
      <c r="I30" s="1">
        <v>366</v>
      </c>
      <c r="J30" s="1">
        <v>412</v>
      </c>
      <c r="K30" s="1">
        <v>436</v>
      </c>
      <c r="V30" s="1">
        <v>484</v>
      </c>
      <c r="W30" s="1">
        <v>403</v>
      </c>
      <c r="X30" s="1">
        <v>366</v>
      </c>
      <c r="Y30" s="1">
        <v>412</v>
      </c>
      <c r="Z30" s="1">
        <v>436</v>
      </c>
    </row>
    <row r="31" spans="1:26" ht="15.6" x14ac:dyDescent="0.3">
      <c r="A31" s="1">
        <v>78</v>
      </c>
      <c r="B31" s="1">
        <v>97</v>
      </c>
      <c r="C31" s="1">
        <v>87</v>
      </c>
      <c r="D31" s="1">
        <v>62</v>
      </c>
      <c r="E31" s="1">
        <v>409</v>
      </c>
      <c r="G31" s="1">
        <v>78</v>
      </c>
      <c r="H31" s="1">
        <v>97</v>
      </c>
      <c r="I31" s="1">
        <v>87</v>
      </c>
      <c r="J31" s="1">
        <v>62</v>
      </c>
      <c r="K31" s="1">
        <v>409</v>
      </c>
      <c r="V31" s="1">
        <v>78</v>
      </c>
      <c r="W31" s="1">
        <v>97</v>
      </c>
      <c r="X31" s="1">
        <v>87</v>
      </c>
      <c r="Y31" s="1">
        <v>62</v>
      </c>
      <c r="Z31" s="1">
        <v>409</v>
      </c>
    </row>
    <row r="32" spans="1:26" ht="15.6" x14ac:dyDescent="0.3">
      <c r="A32" s="1">
        <v>369</v>
      </c>
      <c r="B32" s="1">
        <v>245</v>
      </c>
      <c r="C32" s="1">
        <v>225</v>
      </c>
      <c r="D32" s="1">
        <v>53</v>
      </c>
      <c r="E32" s="1">
        <v>471</v>
      </c>
      <c r="G32" s="1">
        <v>369</v>
      </c>
      <c r="H32" s="1">
        <v>245</v>
      </c>
      <c r="I32" s="1">
        <v>225</v>
      </c>
      <c r="J32" s="1">
        <v>53</v>
      </c>
      <c r="K32" s="1">
        <v>471</v>
      </c>
      <c r="V32" s="1">
        <v>369</v>
      </c>
      <c r="W32" s="1">
        <v>245</v>
      </c>
      <c r="X32" s="1">
        <v>225</v>
      </c>
      <c r="Y32" s="1">
        <v>53</v>
      </c>
      <c r="Z32" s="1">
        <v>471</v>
      </c>
    </row>
    <row r="33" spans="1:26" ht="15.6" x14ac:dyDescent="0.3">
      <c r="A33" s="1">
        <v>15</v>
      </c>
      <c r="B33" s="1">
        <v>32</v>
      </c>
      <c r="C33" s="1">
        <v>166</v>
      </c>
      <c r="D33" s="1">
        <v>900</v>
      </c>
      <c r="E33" s="1">
        <v>358</v>
      </c>
      <c r="G33" s="1">
        <v>15</v>
      </c>
      <c r="H33" s="1">
        <v>32</v>
      </c>
      <c r="I33" s="1">
        <v>166</v>
      </c>
      <c r="J33" s="1">
        <v>900</v>
      </c>
      <c r="K33" s="1">
        <v>358</v>
      </c>
      <c r="V33" s="1">
        <v>15</v>
      </c>
      <c r="W33" s="1">
        <v>32</v>
      </c>
      <c r="X33" s="1">
        <v>166</v>
      </c>
      <c r="Y33" s="1">
        <v>760</v>
      </c>
      <c r="Z33" s="1">
        <v>358</v>
      </c>
    </row>
    <row r="34" spans="1:26" ht="15.6" x14ac:dyDescent="0.3">
      <c r="A34" s="1">
        <v>162</v>
      </c>
      <c r="B34" s="1">
        <v>258</v>
      </c>
      <c r="C34" s="1">
        <v>426</v>
      </c>
      <c r="D34" s="1">
        <v>54</v>
      </c>
      <c r="E34" s="1">
        <v>218</v>
      </c>
      <c r="G34" s="1">
        <v>162</v>
      </c>
      <c r="H34" s="1">
        <v>258</v>
      </c>
      <c r="I34" s="1">
        <v>426</v>
      </c>
      <c r="J34" s="1">
        <v>54</v>
      </c>
      <c r="K34" s="1">
        <v>218</v>
      </c>
      <c r="V34" s="1">
        <v>162</v>
      </c>
      <c r="W34" s="1">
        <v>258</v>
      </c>
      <c r="X34" s="1">
        <v>426</v>
      </c>
      <c r="Y34" s="1">
        <v>54</v>
      </c>
      <c r="Z34" s="1">
        <v>218</v>
      </c>
    </row>
    <row r="35" spans="1:26" ht="15.6" x14ac:dyDescent="0.3">
      <c r="A35" s="1">
        <v>164</v>
      </c>
      <c r="B35" s="1">
        <v>121</v>
      </c>
      <c r="C35" s="1">
        <v>494</v>
      </c>
      <c r="D35" s="1">
        <v>460</v>
      </c>
      <c r="E35" s="1">
        <v>396</v>
      </c>
      <c r="G35" s="1">
        <v>164</v>
      </c>
      <c r="H35" s="1">
        <v>121</v>
      </c>
      <c r="I35" s="1">
        <v>494</v>
      </c>
      <c r="J35" s="1">
        <v>460</v>
      </c>
      <c r="K35" s="1">
        <v>396</v>
      </c>
      <c r="V35" s="1">
        <v>164</v>
      </c>
      <c r="W35" s="1">
        <v>121</v>
      </c>
      <c r="X35" s="1">
        <v>494</v>
      </c>
      <c r="Y35" s="1">
        <v>460</v>
      </c>
      <c r="Z35" s="1">
        <v>396</v>
      </c>
    </row>
    <row r="36" spans="1:26" ht="15.6" x14ac:dyDescent="0.3">
      <c r="A36" s="1">
        <v>214</v>
      </c>
      <c r="B36" s="1">
        <v>13</v>
      </c>
      <c r="C36" s="1">
        <v>203</v>
      </c>
      <c r="D36" s="1">
        <v>364</v>
      </c>
      <c r="E36" s="1">
        <v>314</v>
      </c>
      <c r="G36" s="1">
        <v>214</v>
      </c>
      <c r="H36" s="1">
        <v>13</v>
      </c>
      <c r="I36" s="1">
        <v>203</v>
      </c>
      <c r="J36" s="1">
        <v>364</v>
      </c>
      <c r="K36" s="1">
        <v>314</v>
      </c>
      <c r="V36" s="1">
        <v>214</v>
      </c>
      <c r="W36" s="1">
        <v>13</v>
      </c>
      <c r="X36" s="1">
        <v>203</v>
      </c>
      <c r="Y36" s="1">
        <v>364</v>
      </c>
      <c r="Z36" s="1">
        <v>314</v>
      </c>
    </row>
    <row r="37" spans="1:26" ht="15.6" x14ac:dyDescent="0.3">
      <c r="A37" s="1">
        <v>239</v>
      </c>
      <c r="B37" s="1">
        <v>360</v>
      </c>
      <c r="C37" s="1">
        <v>320</v>
      </c>
      <c r="D37" s="1">
        <v>192</v>
      </c>
      <c r="E37" s="1">
        <v>77</v>
      </c>
      <c r="G37" s="1">
        <v>239</v>
      </c>
      <c r="H37" s="1">
        <v>360</v>
      </c>
      <c r="I37" s="1">
        <v>320</v>
      </c>
      <c r="J37" s="1">
        <v>192</v>
      </c>
      <c r="K37" s="1">
        <v>77</v>
      </c>
      <c r="V37" s="1">
        <v>239</v>
      </c>
      <c r="W37" s="1">
        <v>360</v>
      </c>
      <c r="X37" s="1">
        <v>320</v>
      </c>
      <c r="Y37" s="1">
        <v>192</v>
      </c>
      <c r="Z37" s="1">
        <v>77</v>
      </c>
    </row>
    <row r="38" spans="1:26" ht="15.6" x14ac:dyDescent="0.3">
      <c r="A38" s="1">
        <v>74</v>
      </c>
      <c r="B38" s="1">
        <v>257</v>
      </c>
      <c r="C38" s="1">
        <v>178</v>
      </c>
      <c r="D38" s="1">
        <v>471</v>
      </c>
      <c r="E38" s="1">
        <v>423</v>
      </c>
      <c r="G38" s="1">
        <v>74</v>
      </c>
      <c r="H38" s="1">
        <v>257</v>
      </c>
      <c r="I38" s="1">
        <v>178</v>
      </c>
      <c r="J38" s="1">
        <v>471</v>
      </c>
      <c r="K38" s="1">
        <v>423</v>
      </c>
      <c r="V38" s="1">
        <v>74</v>
      </c>
      <c r="W38" s="1">
        <v>257</v>
      </c>
      <c r="X38" s="1">
        <v>178</v>
      </c>
      <c r="Y38" s="1">
        <v>471</v>
      </c>
      <c r="Z38" s="1">
        <v>423</v>
      </c>
    </row>
    <row r="39" spans="1:26" ht="15.6" x14ac:dyDescent="0.3">
      <c r="A39" s="1">
        <v>115</v>
      </c>
      <c r="B39" s="1">
        <v>187</v>
      </c>
      <c r="C39" s="1">
        <v>88</v>
      </c>
      <c r="D39" s="1">
        <v>11</v>
      </c>
      <c r="E39" s="1">
        <v>321</v>
      </c>
      <c r="G39" s="1">
        <v>115</v>
      </c>
      <c r="H39" s="1">
        <v>187</v>
      </c>
      <c r="I39" s="1">
        <v>88</v>
      </c>
      <c r="J39" s="1">
        <v>11</v>
      </c>
      <c r="K39" s="1">
        <v>321</v>
      </c>
      <c r="V39" s="1">
        <v>115</v>
      </c>
      <c r="W39" s="1">
        <v>187</v>
      </c>
      <c r="X39" s="1">
        <v>88</v>
      </c>
      <c r="Y39" s="1">
        <v>11</v>
      </c>
      <c r="Z39" s="1">
        <v>321</v>
      </c>
    </row>
    <row r="40" spans="1:26" ht="15.6" x14ac:dyDescent="0.3">
      <c r="A40" s="1">
        <v>44</v>
      </c>
      <c r="B40" s="1">
        <v>361</v>
      </c>
      <c r="C40" s="1">
        <v>388</v>
      </c>
      <c r="D40" s="1">
        <v>202</v>
      </c>
      <c r="E40" s="1">
        <v>175</v>
      </c>
      <c r="G40" s="1">
        <v>44</v>
      </c>
      <c r="H40" s="1">
        <v>361</v>
      </c>
      <c r="I40" s="1">
        <v>388</v>
      </c>
      <c r="J40" s="1">
        <v>202</v>
      </c>
      <c r="K40" s="1">
        <v>175</v>
      </c>
      <c r="V40" s="1">
        <v>44</v>
      </c>
      <c r="W40" s="1">
        <v>361</v>
      </c>
      <c r="X40" s="1">
        <v>388</v>
      </c>
      <c r="Y40" s="1">
        <v>202</v>
      </c>
      <c r="Z40" s="1">
        <v>175</v>
      </c>
    </row>
    <row r="41" spans="1:26" ht="15.6" x14ac:dyDescent="0.3">
      <c r="A41" s="1">
        <v>260</v>
      </c>
      <c r="B41" s="1">
        <v>294</v>
      </c>
      <c r="C41" s="1">
        <v>264</v>
      </c>
      <c r="D41" s="1">
        <v>129</v>
      </c>
      <c r="E41" s="1">
        <v>235</v>
      </c>
      <c r="G41" s="1">
        <v>260</v>
      </c>
      <c r="H41" s="1">
        <v>294</v>
      </c>
      <c r="I41" s="1">
        <v>264</v>
      </c>
      <c r="J41" s="1">
        <v>129</v>
      </c>
      <c r="K41" s="1">
        <v>235</v>
      </c>
      <c r="V41" s="1">
        <v>260</v>
      </c>
      <c r="W41" s="1">
        <v>294</v>
      </c>
      <c r="X41" s="1">
        <v>264</v>
      </c>
      <c r="Y41" s="1">
        <v>129</v>
      </c>
      <c r="Z41" s="1">
        <v>235</v>
      </c>
    </row>
    <row r="42" spans="1:26" ht="15.6" x14ac:dyDescent="0.3">
      <c r="A42" s="1">
        <v>466</v>
      </c>
      <c r="B42" s="1">
        <v>230</v>
      </c>
      <c r="C42" s="1">
        <v>431</v>
      </c>
      <c r="D42" s="1">
        <v>115</v>
      </c>
      <c r="E42" s="1">
        <v>175</v>
      </c>
      <c r="G42" s="1">
        <v>466</v>
      </c>
      <c r="H42" s="1">
        <v>230</v>
      </c>
      <c r="I42" s="1">
        <v>431</v>
      </c>
      <c r="J42" s="1">
        <v>115</v>
      </c>
      <c r="K42" s="1">
        <v>175</v>
      </c>
      <c r="V42" s="1">
        <v>466</v>
      </c>
      <c r="W42" s="1">
        <v>230</v>
      </c>
      <c r="X42" s="1">
        <v>431</v>
      </c>
      <c r="Y42" s="1">
        <v>115</v>
      </c>
      <c r="Z42" s="1">
        <v>175</v>
      </c>
    </row>
    <row r="43" spans="1:26" ht="15.6" x14ac:dyDescent="0.3">
      <c r="A43" s="1">
        <v>252</v>
      </c>
      <c r="B43" s="1">
        <v>104</v>
      </c>
      <c r="C43" s="1">
        <v>292</v>
      </c>
      <c r="D43" s="1">
        <v>162</v>
      </c>
      <c r="E43" s="1">
        <v>202</v>
      </c>
      <c r="G43" s="1">
        <v>252</v>
      </c>
      <c r="H43" s="1">
        <v>104</v>
      </c>
      <c r="I43" s="1">
        <v>292</v>
      </c>
      <c r="J43" s="1">
        <v>162</v>
      </c>
      <c r="K43" s="1">
        <v>202</v>
      </c>
      <c r="V43" s="1">
        <v>252</v>
      </c>
      <c r="W43" s="1">
        <v>104</v>
      </c>
      <c r="X43" s="1">
        <v>292</v>
      </c>
      <c r="Y43" s="1">
        <v>162</v>
      </c>
      <c r="Z43" s="1">
        <v>202</v>
      </c>
    </row>
    <row r="44" spans="1:26" ht="15.6" x14ac:dyDescent="0.3">
      <c r="A44" s="1">
        <v>177</v>
      </c>
      <c r="B44" s="1">
        <v>266</v>
      </c>
      <c r="C44" s="1">
        <v>97</v>
      </c>
      <c r="D44" s="1">
        <v>37</v>
      </c>
      <c r="E44" s="1">
        <v>320</v>
      </c>
      <c r="G44" s="1">
        <v>177</v>
      </c>
      <c r="H44" s="1">
        <v>266</v>
      </c>
      <c r="I44" s="1">
        <v>97</v>
      </c>
      <c r="J44" s="1">
        <v>37</v>
      </c>
      <c r="K44" s="1">
        <v>320</v>
      </c>
      <c r="V44" s="1">
        <v>177</v>
      </c>
      <c r="W44" s="1">
        <v>266</v>
      </c>
      <c r="X44" s="1">
        <v>97</v>
      </c>
      <c r="Y44" s="1">
        <v>37</v>
      </c>
      <c r="Z44" s="1">
        <v>320</v>
      </c>
    </row>
    <row r="45" spans="1:26" ht="15.6" x14ac:dyDescent="0.3">
      <c r="A45" s="1">
        <v>27</v>
      </c>
      <c r="B45" s="1">
        <v>383</v>
      </c>
      <c r="C45" s="1">
        <v>202</v>
      </c>
      <c r="D45" s="1">
        <v>351</v>
      </c>
      <c r="E45" s="1">
        <v>301</v>
      </c>
      <c r="G45" s="1">
        <v>27</v>
      </c>
      <c r="H45" s="1">
        <v>383</v>
      </c>
      <c r="I45" s="1">
        <v>202</v>
      </c>
      <c r="J45" s="1">
        <v>351</v>
      </c>
      <c r="K45" s="1">
        <v>301</v>
      </c>
      <c r="V45" s="1">
        <v>27</v>
      </c>
      <c r="W45" s="1">
        <v>383</v>
      </c>
      <c r="X45" s="1">
        <v>202</v>
      </c>
      <c r="Y45" s="1">
        <v>351</v>
      </c>
      <c r="Z45" s="1">
        <v>301</v>
      </c>
    </row>
    <row r="46" spans="1:26" ht="15.6" x14ac:dyDescent="0.3">
      <c r="A46" s="1">
        <v>169</v>
      </c>
      <c r="B46" s="1">
        <v>178</v>
      </c>
      <c r="C46" s="1">
        <v>483</v>
      </c>
      <c r="D46" s="1">
        <v>367</v>
      </c>
      <c r="E46" s="1">
        <v>190</v>
      </c>
      <c r="G46" s="1">
        <v>169</v>
      </c>
      <c r="H46" s="1">
        <v>178</v>
      </c>
      <c r="I46" s="1">
        <v>483</v>
      </c>
      <c r="J46" s="1">
        <v>367</v>
      </c>
      <c r="K46" s="1">
        <v>190</v>
      </c>
      <c r="V46" s="1">
        <v>169</v>
      </c>
      <c r="W46" s="1">
        <v>178</v>
      </c>
      <c r="X46" s="1">
        <v>483</v>
      </c>
      <c r="Y46" s="1">
        <v>367</v>
      </c>
      <c r="Z46" s="1">
        <v>190</v>
      </c>
    </row>
    <row r="47" spans="1:26" ht="15.6" x14ac:dyDescent="0.3">
      <c r="A47" s="1">
        <v>60</v>
      </c>
      <c r="B47" s="1">
        <v>492</v>
      </c>
      <c r="C47" s="1">
        <v>392</v>
      </c>
      <c r="D47" s="1">
        <v>64</v>
      </c>
      <c r="E47" s="1">
        <v>131</v>
      </c>
      <c r="G47" s="1">
        <v>60</v>
      </c>
      <c r="H47" s="1">
        <v>492</v>
      </c>
      <c r="I47" s="1">
        <v>392</v>
      </c>
      <c r="J47" s="1">
        <v>64</v>
      </c>
      <c r="K47" s="1">
        <v>131</v>
      </c>
      <c r="V47" s="1">
        <v>60</v>
      </c>
      <c r="W47" s="1">
        <v>492</v>
      </c>
      <c r="X47" s="1">
        <v>392</v>
      </c>
      <c r="Y47" s="1">
        <v>64</v>
      </c>
      <c r="Z47" s="1">
        <v>131</v>
      </c>
    </row>
    <row r="48" spans="1:26" ht="15.6" x14ac:dyDescent="0.3">
      <c r="A48" s="1">
        <v>446</v>
      </c>
      <c r="B48" s="1">
        <v>250</v>
      </c>
      <c r="C48" s="1">
        <v>31</v>
      </c>
      <c r="D48" s="1">
        <v>38</v>
      </c>
      <c r="E48" s="1">
        <v>924</v>
      </c>
      <c r="G48" s="1">
        <v>446</v>
      </c>
      <c r="H48" s="1">
        <v>250</v>
      </c>
      <c r="I48" s="1">
        <v>31</v>
      </c>
      <c r="J48" s="1">
        <v>38</v>
      </c>
      <c r="K48" s="1">
        <v>924</v>
      </c>
      <c r="V48" s="1">
        <v>446</v>
      </c>
      <c r="W48" s="1">
        <v>250</v>
      </c>
      <c r="X48" s="1">
        <v>31</v>
      </c>
      <c r="Y48" s="1">
        <v>38</v>
      </c>
      <c r="Z48" s="1">
        <v>737</v>
      </c>
    </row>
    <row r="49" spans="1:26" ht="15.6" x14ac:dyDescent="0.3">
      <c r="A49" s="1">
        <v>415</v>
      </c>
      <c r="B49" s="1">
        <v>170</v>
      </c>
      <c r="C49" s="1">
        <v>260</v>
      </c>
      <c r="D49" s="1">
        <v>465</v>
      </c>
      <c r="E49" s="1">
        <v>360</v>
      </c>
      <c r="G49" s="1">
        <v>415</v>
      </c>
      <c r="H49" s="1">
        <v>170</v>
      </c>
      <c r="I49" s="1">
        <v>260</v>
      </c>
      <c r="J49" s="1">
        <v>465</v>
      </c>
      <c r="K49" s="1">
        <v>360</v>
      </c>
      <c r="V49" s="1">
        <v>415</v>
      </c>
      <c r="W49" s="1">
        <v>170</v>
      </c>
      <c r="X49" s="1">
        <v>260</v>
      </c>
      <c r="Y49" s="1">
        <v>465</v>
      </c>
      <c r="Z49" s="1">
        <v>360</v>
      </c>
    </row>
    <row r="50" spans="1:26" ht="15.6" x14ac:dyDescent="0.3">
      <c r="A50" s="1">
        <v>155</v>
      </c>
      <c r="B50" s="1">
        <v>466</v>
      </c>
      <c r="C50" s="1">
        <v>486</v>
      </c>
      <c r="D50" s="1">
        <v>462</v>
      </c>
      <c r="E50" s="1">
        <v>254</v>
      </c>
      <c r="G50" s="1">
        <v>155</v>
      </c>
      <c r="H50" s="1">
        <v>466</v>
      </c>
      <c r="I50" s="1">
        <v>486</v>
      </c>
      <c r="J50" s="1">
        <v>462</v>
      </c>
      <c r="K50" s="1">
        <v>254</v>
      </c>
      <c r="V50" s="1">
        <v>155</v>
      </c>
      <c r="W50" s="1">
        <v>466</v>
      </c>
      <c r="X50" s="1">
        <v>486</v>
      </c>
      <c r="Y50" s="1">
        <v>462</v>
      </c>
      <c r="Z50" s="1">
        <v>254</v>
      </c>
    </row>
    <row r="51" spans="1:26" ht="15.6" x14ac:dyDescent="0.3">
      <c r="A51" s="1">
        <v>52</v>
      </c>
      <c r="B51" s="1">
        <v>468</v>
      </c>
      <c r="C51" s="1">
        <v>278</v>
      </c>
      <c r="D51" s="1">
        <v>204</v>
      </c>
      <c r="E51" s="1">
        <v>39</v>
      </c>
      <c r="G51" s="1">
        <v>52</v>
      </c>
      <c r="H51" s="1">
        <v>468</v>
      </c>
      <c r="I51" s="1">
        <v>278</v>
      </c>
      <c r="J51" s="1">
        <v>204</v>
      </c>
      <c r="K51" s="1">
        <v>39</v>
      </c>
      <c r="V51" s="1">
        <v>52</v>
      </c>
      <c r="W51" s="1">
        <v>468</v>
      </c>
      <c r="X51" s="1">
        <v>278</v>
      </c>
      <c r="Y51" s="1">
        <v>204</v>
      </c>
      <c r="Z51" s="1">
        <v>39</v>
      </c>
    </row>
    <row r="52" spans="1:26" ht="15.6" x14ac:dyDescent="0.3">
      <c r="A52" s="1">
        <v>153</v>
      </c>
      <c r="B52" s="1">
        <v>460</v>
      </c>
      <c r="C52" s="1">
        <v>440</v>
      </c>
      <c r="D52" s="1">
        <v>375</v>
      </c>
      <c r="E52" s="1">
        <v>4</v>
      </c>
      <c r="G52" s="1">
        <v>153</v>
      </c>
      <c r="H52" s="1">
        <v>460</v>
      </c>
      <c r="I52" s="1">
        <v>440</v>
      </c>
      <c r="J52" s="1">
        <v>375</v>
      </c>
      <c r="K52" s="1">
        <v>4</v>
      </c>
      <c r="V52" s="1">
        <v>153</v>
      </c>
      <c r="W52" s="1">
        <v>460</v>
      </c>
      <c r="X52" s="1">
        <v>440</v>
      </c>
      <c r="Y52" s="1">
        <v>375</v>
      </c>
      <c r="Z52" s="1">
        <v>4</v>
      </c>
    </row>
    <row r="53" spans="1:26" ht="15.6" x14ac:dyDescent="0.3">
      <c r="A53" s="1">
        <v>141</v>
      </c>
      <c r="B53" s="1">
        <v>381</v>
      </c>
      <c r="C53" s="1">
        <v>102</v>
      </c>
      <c r="D53" s="1">
        <v>463</v>
      </c>
      <c r="E53" s="1">
        <v>401</v>
      </c>
      <c r="G53" s="1">
        <v>141</v>
      </c>
      <c r="H53" s="1">
        <v>381</v>
      </c>
      <c r="I53" s="1">
        <v>102</v>
      </c>
      <c r="J53" s="1">
        <v>463</v>
      </c>
      <c r="K53" s="1">
        <v>401</v>
      </c>
      <c r="V53" s="1">
        <v>141</v>
      </c>
      <c r="W53" s="1">
        <v>381</v>
      </c>
      <c r="X53" s="1">
        <v>102</v>
      </c>
      <c r="Y53" s="1">
        <v>463</v>
      </c>
      <c r="Z53" s="1">
        <v>401</v>
      </c>
    </row>
    <row r="54" spans="1:26" ht="15.6" x14ac:dyDescent="0.3">
      <c r="A54" s="1">
        <v>158</v>
      </c>
      <c r="B54" s="1">
        <v>309</v>
      </c>
      <c r="C54" s="1">
        <v>8</v>
      </c>
      <c r="D54" s="1">
        <v>212</v>
      </c>
      <c r="E54" s="1">
        <v>460</v>
      </c>
      <c r="G54" s="1">
        <v>158</v>
      </c>
      <c r="H54" s="1">
        <v>309</v>
      </c>
      <c r="I54" s="1">
        <v>8</v>
      </c>
      <c r="J54" s="1">
        <v>212</v>
      </c>
      <c r="K54" s="1">
        <v>460</v>
      </c>
      <c r="V54" s="1">
        <v>158</v>
      </c>
      <c r="W54" s="1">
        <v>309</v>
      </c>
      <c r="X54" s="1">
        <v>8</v>
      </c>
      <c r="Y54" s="1">
        <v>212</v>
      </c>
      <c r="Z54" s="1">
        <v>460</v>
      </c>
    </row>
    <row r="55" spans="1:26" ht="15.6" x14ac:dyDescent="0.3">
      <c r="A55" s="1">
        <v>458</v>
      </c>
      <c r="B55" s="1">
        <v>291</v>
      </c>
      <c r="C55" s="1">
        <v>1</v>
      </c>
      <c r="D55" s="1">
        <v>223</v>
      </c>
      <c r="E55" s="1">
        <v>115</v>
      </c>
      <c r="G55" s="1">
        <v>458</v>
      </c>
      <c r="H55" s="1">
        <v>291</v>
      </c>
      <c r="I55" s="1">
        <v>1</v>
      </c>
      <c r="J55" s="1">
        <v>223</v>
      </c>
      <c r="K55" s="1">
        <v>115</v>
      </c>
      <c r="V55" s="1">
        <v>458</v>
      </c>
      <c r="W55" s="1">
        <v>291</v>
      </c>
      <c r="X55" s="1">
        <v>1</v>
      </c>
      <c r="Y55" s="1">
        <v>223</v>
      </c>
      <c r="Z55" s="1">
        <v>115</v>
      </c>
    </row>
    <row r="56" spans="1:26" ht="15.6" x14ac:dyDescent="0.3">
      <c r="A56" s="1">
        <v>447</v>
      </c>
      <c r="B56" s="1">
        <v>268</v>
      </c>
      <c r="C56" s="1">
        <v>193</v>
      </c>
      <c r="D56" s="1">
        <v>413</v>
      </c>
      <c r="E56" s="1">
        <v>182</v>
      </c>
      <c r="G56" s="1">
        <v>447</v>
      </c>
      <c r="H56" s="1">
        <v>268</v>
      </c>
      <c r="I56" s="1">
        <v>193</v>
      </c>
      <c r="J56" s="1">
        <v>413</v>
      </c>
      <c r="K56" s="1">
        <v>182</v>
      </c>
      <c r="V56" s="1">
        <v>447</v>
      </c>
      <c r="W56" s="1">
        <v>268</v>
      </c>
      <c r="X56" s="1">
        <v>193</v>
      </c>
      <c r="Y56" s="1">
        <v>413</v>
      </c>
      <c r="Z56" s="1">
        <v>182</v>
      </c>
    </row>
    <row r="57" spans="1:26" ht="15.6" x14ac:dyDescent="0.3">
      <c r="A57" s="1">
        <v>475</v>
      </c>
      <c r="B57" s="1">
        <v>445</v>
      </c>
      <c r="C57" s="1">
        <v>392</v>
      </c>
      <c r="D57" s="1">
        <v>380</v>
      </c>
      <c r="E57" s="1">
        <v>184</v>
      </c>
      <c r="G57" s="1">
        <v>475</v>
      </c>
      <c r="H57" s="1">
        <v>445</v>
      </c>
      <c r="I57" s="1">
        <v>392</v>
      </c>
      <c r="J57" s="1">
        <v>380</v>
      </c>
      <c r="K57" s="1">
        <v>184</v>
      </c>
      <c r="V57" s="1">
        <v>475</v>
      </c>
      <c r="W57" s="1">
        <v>445</v>
      </c>
      <c r="X57" s="1">
        <v>392</v>
      </c>
      <c r="Y57" s="1">
        <v>380</v>
      </c>
      <c r="Z57" s="1">
        <v>184</v>
      </c>
    </row>
    <row r="58" spans="1:26" ht="15.6" x14ac:dyDescent="0.3">
      <c r="A58" s="1">
        <v>480</v>
      </c>
      <c r="B58" s="1">
        <v>404</v>
      </c>
      <c r="C58" s="1">
        <v>240</v>
      </c>
      <c r="D58" s="1">
        <v>413</v>
      </c>
      <c r="E58" s="1">
        <v>369</v>
      </c>
      <c r="G58" s="1">
        <v>480</v>
      </c>
      <c r="H58" s="1">
        <v>404</v>
      </c>
      <c r="I58" s="1">
        <v>240</v>
      </c>
      <c r="J58" s="1">
        <v>413</v>
      </c>
      <c r="K58" s="1">
        <v>369</v>
      </c>
      <c r="V58" s="1">
        <v>480</v>
      </c>
      <c r="W58" s="1">
        <v>404</v>
      </c>
      <c r="X58" s="1">
        <v>240</v>
      </c>
      <c r="Y58" s="1">
        <v>413</v>
      </c>
      <c r="Z58" s="1">
        <v>369</v>
      </c>
    </row>
    <row r="59" spans="1:26" ht="15.6" x14ac:dyDescent="0.3">
      <c r="A59" s="1">
        <v>433</v>
      </c>
      <c r="B59" s="1">
        <v>94</v>
      </c>
      <c r="C59" s="1">
        <v>175</v>
      </c>
      <c r="D59" s="1">
        <v>126</v>
      </c>
      <c r="E59" s="1">
        <v>381</v>
      </c>
      <c r="G59" s="1">
        <v>433</v>
      </c>
      <c r="H59" s="1">
        <v>94</v>
      </c>
      <c r="I59" s="1">
        <v>175</v>
      </c>
      <c r="J59" s="1">
        <v>126</v>
      </c>
      <c r="K59" s="1">
        <v>381</v>
      </c>
      <c r="V59" s="1">
        <v>433</v>
      </c>
      <c r="W59" s="1">
        <v>94</v>
      </c>
      <c r="X59" s="1">
        <v>175</v>
      </c>
      <c r="Y59" s="1">
        <v>126</v>
      </c>
      <c r="Z59" s="1">
        <v>381</v>
      </c>
    </row>
    <row r="60" spans="1:26" ht="15.6" x14ac:dyDescent="0.3">
      <c r="A60" s="1">
        <v>244</v>
      </c>
      <c r="B60" s="1">
        <v>445</v>
      </c>
      <c r="C60" s="1">
        <v>419</v>
      </c>
      <c r="D60" s="1">
        <v>274</v>
      </c>
      <c r="E60" s="1">
        <v>326</v>
      </c>
      <c r="G60" s="1">
        <v>244</v>
      </c>
      <c r="H60" s="1">
        <v>445</v>
      </c>
      <c r="I60" s="1">
        <v>419</v>
      </c>
      <c r="J60" s="1">
        <v>274</v>
      </c>
      <c r="K60" s="1">
        <v>326</v>
      </c>
      <c r="V60" s="1">
        <v>244</v>
      </c>
      <c r="W60" s="1">
        <v>445</v>
      </c>
      <c r="X60" s="1">
        <v>419</v>
      </c>
      <c r="Y60" s="1">
        <v>274</v>
      </c>
      <c r="Z60" s="1">
        <v>326</v>
      </c>
    </row>
    <row r="61" spans="1:26" ht="15.6" x14ac:dyDescent="0.3">
      <c r="A61" s="1">
        <v>456</v>
      </c>
      <c r="B61" s="1">
        <v>472</v>
      </c>
      <c r="C61" s="1">
        <v>194</v>
      </c>
      <c r="D61" s="1">
        <v>138</v>
      </c>
      <c r="E61" s="1">
        <v>179</v>
      </c>
      <c r="G61" s="1">
        <v>456</v>
      </c>
      <c r="H61" s="1">
        <v>472</v>
      </c>
      <c r="I61" s="1">
        <v>194</v>
      </c>
      <c r="J61" s="1">
        <v>138</v>
      </c>
      <c r="K61" s="1">
        <v>179</v>
      </c>
      <c r="V61" s="1">
        <v>456</v>
      </c>
      <c r="W61" s="1">
        <v>472</v>
      </c>
      <c r="X61" s="1">
        <v>194</v>
      </c>
      <c r="Y61" s="1">
        <v>138</v>
      </c>
      <c r="Z61" s="1">
        <v>179</v>
      </c>
    </row>
    <row r="62" spans="1:26" ht="15.6" x14ac:dyDescent="0.3">
      <c r="A62" s="1">
        <v>395</v>
      </c>
      <c r="B62" s="1">
        <v>214</v>
      </c>
      <c r="C62" s="1">
        <v>163</v>
      </c>
      <c r="D62" s="1">
        <v>266</v>
      </c>
      <c r="E62" s="1">
        <v>363</v>
      </c>
      <c r="G62" s="1">
        <v>395</v>
      </c>
      <c r="H62" s="1">
        <v>214</v>
      </c>
      <c r="I62" s="1">
        <v>163</v>
      </c>
      <c r="J62" s="1">
        <v>266</v>
      </c>
      <c r="K62" s="1">
        <v>363</v>
      </c>
      <c r="V62" s="1">
        <v>395</v>
      </c>
      <c r="W62" s="1">
        <v>214</v>
      </c>
      <c r="X62" s="1">
        <v>163</v>
      </c>
      <c r="Y62" s="1">
        <v>266</v>
      </c>
      <c r="Z62" s="1">
        <v>363</v>
      </c>
    </row>
    <row r="63" spans="1:26" ht="15.6" x14ac:dyDescent="0.3">
      <c r="A63" s="1">
        <v>36</v>
      </c>
      <c r="B63" s="1">
        <v>293</v>
      </c>
      <c r="C63" s="1">
        <v>35</v>
      </c>
      <c r="D63" s="1">
        <v>72</v>
      </c>
      <c r="E63" s="1">
        <v>370</v>
      </c>
      <c r="G63" s="1">
        <v>36</v>
      </c>
      <c r="H63" s="1">
        <v>293</v>
      </c>
      <c r="I63" s="1">
        <v>35</v>
      </c>
      <c r="J63" s="1">
        <v>72</v>
      </c>
      <c r="K63" s="1">
        <v>370</v>
      </c>
      <c r="V63" s="1">
        <v>36</v>
      </c>
      <c r="W63" s="1">
        <v>293</v>
      </c>
      <c r="X63" s="1">
        <v>35</v>
      </c>
      <c r="Y63" s="1">
        <v>72</v>
      </c>
      <c r="Z63" s="1">
        <v>370</v>
      </c>
    </row>
    <row r="64" spans="1:26" ht="15.6" x14ac:dyDescent="0.3">
      <c r="A64" s="1">
        <v>81</v>
      </c>
      <c r="B64" s="1">
        <v>39</v>
      </c>
      <c r="C64" s="1">
        <v>119</v>
      </c>
      <c r="D64" s="1">
        <v>152</v>
      </c>
      <c r="E64" s="1">
        <v>263</v>
      </c>
      <c r="G64" s="1">
        <v>81</v>
      </c>
      <c r="H64" s="1">
        <v>39</v>
      </c>
      <c r="I64" s="1">
        <v>119</v>
      </c>
      <c r="J64" s="1">
        <v>152</v>
      </c>
      <c r="K64" s="1">
        <v>263</v>
      </c>
      <c r="V64" s="1">
        <v>81</v>
      </c>
      <c r="W64" s="1">
        <v>39</v>
      </c>
      <c r="X64" s="1">
        <v>119</v>
      </c>
      <c r="Y64" s="1">
        <v>152</v>
      </c>
      <c r="Z64" s="1">
        <v>263</v>
      </c>
    </row>
    <row r="65" spans="1:26" ht="15.6" x14ac:dyDescent="0.3">
      <c r="A65" s="1">
        <v>47</v>
      </c>
      <c r="B65" s="1">
        <v>318</v>
      </c>
      <c r="C65" s="1">
        <v>72</v>
      </c>
      <c r="D65" s="1">
        <v>260</v>
      </c>
      <c r="E65" s="1">
        <v>96</v>
      </c>
      <c r="G65" s="1">
        <v>47</v>
      </c>
      <c r="H65" s="1">
        <v>318</v>
      </c>
      <c r="I65" s="1">
        <v>72</v>
      </c>
      <c r="J65" s="1">
        <v>260</v>
      </c>
      <c r="K65" s="1">
        <v>96</v>
      </c>
      <c r="V65" s="1">
        <v>47</v>
      </c>
      <c r="W65" s="1">
        <v>318</v>
      </c>
      <c r="X65" s="1">
        <v>72</v>
      </c>
      <c r="Y65" s="1">
        <v>260</v>
      </c>
      <c r="Z65" s="1">
        <v>96</v>
      </c>
    </row>
    <row r="66" spans="1:26" ht="15.6" x14ac:dyDescent="0.3">
      <c r="A66" s="1">
        <v>290</v>
      </c>
      <c r="B66" s="1">
        <v>379</v>
      </c>
      <c r="C66" s="1">
        <v>150</v>
      </c>
      <c r="D66" s="1">
        <v>396</v>
      </c>
      <c r="E66" s="1">
        <v>7</v>
      </c>
      <c r="G66" s="1">
        <v>290</v>
      </c>
      <c r="H66" s="1">
        <v>379</v>
      </c>
      <c r="I66" s="1">
        <v>150</v>
      </c>
      <c r="J66" s="1">
        <v>396</v>
      </c>
      <c r="K66" s="1">
        <v>7</v>
      </c>
      <c r="V66" s="1">
        <v>290</v>
      </c>
      <c r="W66" s="1">
        <v>379</v>
      </c>
      <c r="X66" s="1">
        <v>150</v>
      </c>
      <c r="Y66" s="1">
        <v>396</v>
      </c>
      <c r="Z66" s="1">
        <v>7</v>
      </c>
    </row>
    <row r="67" spans="1:26" ht="15.6" x14ac:dyDescent="0.3">
      <c r="A67" s="1">
        <v>108</v>
      </c>
      <c r="B67" s="1">
        <v>448</v>
      </c>
      <c r="C67" s="1">
        <v>287</v>
      </c>
      <c r="D67" s="1">
        <v>467</v>
      </c>
      <c r="E67" s="1">
        <v>293</v>
      </c>
      <c r="G67" s="1">
        <v>108</v>
      </c>
      <c r="H67" s="1">
        <v>448</v>
      </c>
      <c r="I67" s="1">
        <v>287</v>
      </c>
      <c r="J67" s="1">
        <v>467</v>
      </c>
      <c r="K67" s="1">
        <v>293</v>
      </c>
      <c r="V67" s="1">
        <v>108</v>
      </c>
      <c r="W67" s="1">
        <v>448</v>
      </c>
      <c r="X67" s="1">
        <v>287</v>
      </c>
      <c r="Y67" s="1">
        <v>467</v>
      </c>
      <c r="Z67" s="1">
        <v>293</v>
      </c>
    </row>
    <row r="68" spans="1:26" ht="15.6" x14ac:dyDescent="0.3">
      <c r="A68" s="1">
        <v>242</v>
      </c>
      <c r="B68" s="1">
        <v>225</v>
      </c>
      <c r="C68" s="1">
        <v>454</v>
      </c>
      <c r="D68" s="1">
        <v>461</v>
      </c>
      <c r="E68" s="1">
        <v>262</v>
      </c>
      <c r="G68" s="1">
        <v>242</v>
      </c>
      <c r="H68" s="1">
        <v>225</v>
      </c>
      <c r="I68" s="1">
        <v>454</v>
      </c>
      <c r="J68" s="1">
        <v>461</v>
      </c>
      <c r="K68" s="1">
        <v>262</v>
      </c>
      <c r="V68" s="1">
        <v>242</v>
      </c>
      <c r="W68" s="1">
        <v>225</v>
      </c>
      <c r="X68" s="1">
        <v>454</v>
      </c>
      <c r="Y68" s="1">
        <v>461</v>
      </c>
      <c r="Z68" s="1">
        <v>262</v>
      </c>
    </row>
    <row r="69" spans="1:26" ht="15.6" x14ac:dyDescent="0.3">
      <c r="A69" s="1">
        <v>167</v>
      </c>
      <c r="B69" s="1">
        <v>498</v>
      </c>
      <c r="C69" s="1">
        <v>485</v>
      </c>
      <c r="D69" s="1">
        <v>390</v>
      </c>
      <c r="E69" s="1">
        <v>145</v>
      </c>
      <c r="G69" s="1">
        <v>167</v>
      </c>
      <c r="H69" s="1">
        <v>498</v>
      </c>
      <c r="I69" s="1">
        <v>485</v>
      </c>
      <c r="J69" s="1">
        <v>390</v>
      </c>
      <c r="K69" s="1">
        <v>145</v>
      </c>
      <c r="V69" s="1">
        <v>167</v>
      </c>
      <c r="W69" s="1">
        <v>498</v>
      </c>
      <c r="X69" s="1">
        <v>485</v>
      </c>
      <c r="Y69" s="1">
        <v>390</v>
      </c>
      <c r="Z69" s="1">
        <v>145</v>
      </c>
    </row>
    <row r="70" spans="1:26" ht="15.6" x14ac:dyDescent="0.3">
      <c r="A70" s="1">
        <v>194</v>
      </c>
      <c r="B70" s="1">
        <v>349</v>
      </c>
      <c r="C70" s="1">
        <v>381</v>
      </c>
      <c r="D70" s="1">
        <v>54</v>
      </c>
      <c r="E70" s="1">
        <v>26</v>
      </c>
      <c r="G70" s="1">
        <v>194</v>
      </c>
      <c r="H70" s="1">
        <v>349</v>
      </c>
      <c r="I70" s="1">
        <v>381</v>
      </c>
      <c r="J70" s="1">
        <v>54</v>
      </c>
      <c r="K70" s="1">
        <v>26</v>
      </c>
      <c r="V70" s="1">
        <v>194</v>
      </c>
      <c r="W70" s="1">
        <v>349</v>
      </c>
      <c r="X70" s="1">
        <v>381</v>
      </c>
      <c r="Y70" s="1">
        <v>54</v>
      </c>
      <c r="Z70" s="1">
        <v>26</v>
      </c>
    </row>
    <row r="71" spans="1:26" ht="15.6" x14ac:dyDescent="0.3">
      <c r="A71" s="1">
        <v>190</v>
      </c>
      <c r="B71" s="1">
        <v>419</v>
      </c>
      <c r="C71" s="1">
        <v>196</v>
      </c>
      <c r="D71" s="1">
        <v>262</v>
      </c>
      <c r="E71" s="1">
        <v>332</v>
      </c>
      <c r="G71" s="1">
        <v>190</v>
      </c>
      <c r="H71" s="1">
        <v>419</v>
      </c>
      <c r="I71" s="1">
        <v>196</v>
      </c>
      <c r="J71" s="1">
        <v>262</v>
      </c>
      <c r="K71" s="1">
        <v>332</v>
      </c>
      <c r="V71" s="1">
        <v>190</v>
      </c>
      <c r="W71" s="1">
        <v>419</v>
      </c>
      <c r="X71" s="1">
        <v>196</v>
      </c>
      <c r="Y71" s="1">
        <v>262</v>
      </c>
      <c r="Z71" s="1">
        <v>332</v>
      </c>
    </row>
    <row r="72" spans="1:26" ht="15.6" x14ac:dyDescent="0.3">
      <c r="A72" s="1">
        <v>173</v>
      </c>
      <c r="B72" s="1">
        <v>429</v>
      </c>
      <c r="C72" s="1">
        <v>220</v>
      </c>
      <c r="D72" s="1">
        <v>55</v>
      </c>
      <c r="E72" s="1">
        <v>363</v>
      </c>
      <c r="G72" s="1">
        <v>173</v>
      </c>
      <c r="H72" s="1">
        <v>429</v>
      </c>
      <c r="I72" s="1">
        <v>220</v>
      </c>
      <c r="J72" s="1">
        <v>55</v>
      </c>
      <c r="K72" s="1">
        <v>363</v>
      </c>
      <c r="V72" s="1">
        <v>173</v>
      </c>
      <c r="W72" s="1">
        <v>429</v>
      </c>
      <c r="X72" s="1">
        <v>220</v>
      </c>
      <c r="Y72" s="1">
        <v>55</v>
      </c>
      <c r="Z72" s="1">
        <v>363</v>
      </c>
    </row>
    <row r="73" spans="1:26" ht="15.6" x14ac:dyDescent="0.3">
      <c r="A73" s="1">
        <v>341</v>
      </c>
      <c r="B73" s="1">
        <v>29</v>
      </c>
      <c r="C73" s="1">
        <v>148</v>
      </c>
      <c r="D73" s="1">
        <v>384</v>
      </c>
      <c r="E73" s="1">
        <v>166</v>
      </c>
      <c r="G73" s="1">
        <v>341</v>
      </c>
      <c r="H73" s="1">
        <v>29</v>
      </c>
      <c r="I73" s="1">
        <v>148</v>
      </c>
      <c r="J73" s="1">
        <v>384</v>
      </c>
      <c r="K73" s="1">
        <v>166</v>
      </c>
      <c r="V73" s="1">
        <v>341</v>
      </c>
      <c r="W73" s="1">
        <v>29</v>
      </c>
      <c r="X73" s="1">
        <v>148</v>
      </c>
      <c r="Y73" s="1">
        <v>384</v>
      </c>
      <c r="Z73" s="1">
        <v>166</v>
      </c>
    </row>
    <row r="74" spans="1:26" ht="15.6" x14ac:dyDescent="0.3">
      <c r="A74" s="1">
        <v>6</v>
      </c>
      <c r="B74" s="1">
        <v>198</v>
      </c>
      <c r="C74" s="1">
        <v>347</v>
      </c>
      <c r="D74" s="1">
        <v>379</v>
      </c>
      <c r="E74" s="1">
        <v>15</v>
      </c>
      <c r="G74" s="1">
        <v>6</v>
      </c>
      <c r="H74" s="1">
        <v>198</v>
      </c>
      <c r="I74" s="1">
        <v>347</v>
      </c>
      <c r="J74" s="1">
        <v>379</v>
      </c>
      <c r="K74" s="1">
        <v>15</v>
      </c>
      <c r="V74" s="1">
        <v>6</v>
      </c>
      <c r="W74" s="1">
        <v>198</v>
      </c>
      <c r="X74" s="1">
        <v>347</v>
      </c>
      <c r="Y74" s="1">
        <v>379</v>
      </c>
      <c r="Z74" s="1">
        <v>15</v>
      </c>
    </row>
    <row r="75" spans="1:26" ht="15.6" x14ac:dyDescent="0.3">
      <c r="A75" s="1">
        <v>90</v>
      </c>
      <c r="B75" s="1">
        <v>440</v>
      </c>
      <c r="C75" s="1">
        <v>474</v>
      </c>
      <c r="D75" s="1">
        <v>441</v>
      </c>
      <c r="E75" s="1">
        <v>134</v>
      </c>
      <c r="G75" s="1">
        <v>90</v>
      </c>
      <c r="H75" s="1">
        <v>440</v>
      </c>
      <c r="I75" s="1">
        <v>474</v>
      </c>
      <c r="J75" s="1">
        <v>441</v>
      </c>
      <c r="K75" s="1">
        <v>134</v>
      </c>
      <c r="V75" s="1">
        <v>90</v>
      </c>
      <c r="W75" s="1">
        <v>440</v>
      </c>
      <c r="X75" s="1">
        <v>474</v>
      </c>
      <c r="Y75" s="1">
        <v>441</v>
      </c>
      <c r="Z75" s="1">
        <v>134</v>
      </c>
    </row>
    <row r="76" spans="1:26" ht="15.6" x14ac:dyDescent="0.3">
      <c r="A76" s="1">
        <v>443</v>
      </c>
      <c r="B76" s="1">
        <v>182</v>
      </c>
      <c r="C76" s="1">
        <v>29</v>
      </c>
      <c r="D76" s="1">
        <v>211</v>
      </c>
      <c r="E76" s="1">
        <v>289</v>
      </c>
      <c r="G76" s="1">
        <v>443</v>
      </c>
      <c r="H76" s="1">
        <v>182</v>
      </c>
      <c r="I76" s="1">
        <v>29</v>
      </c>
      <c r="J76" s="1">
        <v>211</v>
      </c>
      <c r="K76" s="1">
        <v>289</v>
      </c>
      <c r="V76" s="1">
        <v>443</v>
      </c>
      <c r="W76" s="1">
        <v>182</v>
      </c>
      <c r="X76" s="1">
        <v>29</v>
      </c>
      <c r="Y76" s="1">
        <v>211</v>
      </c>
      <c r="Z76" s="1">
        <v>289</v>
      </c>
    </row>
    <row r="77" spans="1:26" ht="15.6" x14ac:dyDescent="0.3">
      <c r="A77" s="1">
        <v>413</v>
      </c>
      <c r="B77" s="1">
        <v>105</v>
      </c>
      <c r="C77" s="1">
        <v>17</v>
      </c>
      <c r="D77" s="1">
        <v>78</v>
      </c>
      <c r="E77" s="1">
        <v>424</v>
      </c>
      <c r="G77" s="1">
        <v>413</v>
      </c>
      <c r="H77" s="1">
        <v>105</v>
      </c>
      <c r="I77" s="1">
        <v>17</v>
      </c>
      <c r="J77" s="1">
        <v>78</v>
      </c>
      <c r="K77" s="1">
        <v>424</v>
      </c>
      <c r="V77" s="1">
        <v>413</v>
      </c>
      <c r="W77" s="1">
        <v>105</v>
      </c>
      <c r="X77" s="1">
        <v>17</v>
      </c>
      <c r="Y77" s="1">
        <v>78</v>
      </c>
      <c r="Z77" s="1">
        <v>424</v>
      </c>
    </row>
    <row r="78" spans="1:26" ht="15.6" x14ac:dyDescent="0.3">
      <c r="A78" s="1">
        <v>326</v>
      </c>
      <c r="B78" s="1">
        <v>221</v>
      </c>
      <c r="C78" s="1">
        <v>348</v>
      </c>
      <c r="D78" s="1">
        <v>296</v>
      </c>
      <c r="E78" s="1">
        <v>440</v>
      </c>
      <c r="G78" s="1">
        <v>326</v>
      </c>
      <c r="H78" s="1">
        <v>221</v>
      </c>
      <c r="I78" s="1">
        <v>348</v>
      </c>
      <c r="J78" s="1">
        <v>296</v>
      </c>
      <c r="K78" s="1">
        <v>440</v>
      </c>
      <c r="V78" s="1">
        <v>326</v>
      </c>
      <c r="W78" s="1">
        <v>221</v>
      </c>
      <c r="X78" s="1">
        <v>348</v>
      </c>
      <c r="Y78" s="1">
        <v>296</v>
      </c>
      <c r="Z78" s="1">
        <v>440</v>
      </c>
    </row>
    <row r="79" spans="1:26" ht="15.6" x14ac:dyDescent="0.3">
      <c r="A79" s="1">
        <v>379</v>
      </c>
      <c r="B79" s="1">
        <v>876</v>
      </c>
      <c r="C79" s="1">
        <v>455</v>
      </c>
      <c r="D79" s="1">
        <v>461</v>
      </c>
      <c r="E79" s="1">
        <v>153</v>
      </c>
      <c r="G79" s="1">
        <v>379</v>
      </c>
      <c r="H79" s="1">
        <v>876</v>
      </c>
      <c r="I79" s="1">
        <v>455</v>
      </c>
      <c r="J79" s="1">
        <v>461</v>
      </c>
      <c r="K79" s="1">
        <v>153</v>
      </c>
      <c r="V79" s="1">
        <v>379</v>
      </c>
      <c r="W79" s="1">
        <v>652</v>
      </c>
      <c r="X79" s="1">
        <v>455</v>
      </c>
      <c r="Y79" s="1">
        <v>461</v>
      </c>
      <c r="Z79" s="1">
        <v>153</v>
      </c>
    </row>
    <row r="80" spans="1:26" ht="15.6" x14ac:dyDescent="0.3">
      <c r="A80" s="1">
        <v>218</v>
      </c>
      <c r="B80" s="1">
        <v>16</v>
      </c>
      <c r="C80" s="1">
        <v>418</v>
      </c>
      <c r="D80" s="1">
        <v>147</v>
      </c>
      <c r="E80" s="1">
        <v>55</v>
      </c>
      <c r="G80" s="1">
        <v>218</v>
      </c>
      <c r="H80" s="1">
        <v>16</v>
      </c>
      <c r="I80" s="1">
        <v>418</v>
      </c>
      <c r="J80" s="1">
        <v>147</v>
      </c>
      <c r="K80" s="1">
        <v>55</v>
      </c>
      <c r="V80" s="1">
        <v>218</v>
      </c>
      <c r="W80" s="1">
        <v>16</v>
      </c>
      <c r="X80" s="1">
        <v>418</v>
      </c>
      <c r="Y80" s="1">
        <v>147</v>
      </c>
      <c r="Z80" s="1">
        <v>55</v>
      </c>
    </row>
    <row r="81" spans="1:26" ht="15.6" x14ac:dyDescent="0.3">
      <c r="A81" s="1">
        <v>236</v>
      </c>
      <c r="B81" s="1">
        <v>475</v>
      </c>
      <c r="C81" s="1">
        <v>53</v>
      </c>
      <c r="D81" s="1">
        <v>62</v>
      </c>
      <c r="E81" s="1">
        <v>226</v>
      </c>
      <c r="G81" s="1">
        <v>236</v>
      </c>
      <c r="H81" s="1">
        <v>475</v>
      </c>
      <c r="I81" s="1">
        <v>53</v>
      </c>
      <c r="J81" s="1">
        <v>62</v>
      </c>
      <c r="K81" s="1">
        <v>226</v>
      </c>
      <c r="V81" s="1">
        <v>236</v>
      </c>
      <c r="W81" s="1">
        <v>475</v>
      </c>
      <c r="X81" s="1">
        <v>53</v>
      </c>
      <c r="Y81" s="1">
        <v>62</v>
      </c>
      <c r="Z81" s="1">
        <v>226</v>
      </c>
    </row>
    <row r="82" spans="1:26" ht="15.6" x14ac:dyDescent="0.3">
      <c r="A82" s="1">
        <v>194</v>
      </c>
      <c r="B82" s="1">
        <v>274</v>
      </c>
      <c r="C82" s="1">
        <v>283</v>
      </c>
      <c r="D82" s="1">
        <v>431</v>
      </c>
      <c r="E82" s="1">
        <v>199</v>
      </c>
      <c r="G82" s="1">
        <v>194</v>
      </c>
      <c r="H82" s="1">
        <v>274</v>
      </c>
      <c r="I82" s="1">
        <v>283</v>
      </c>
      <c r="J82" s="1">
        <v>431</v>
      </c>
      <c r="K82" s="1">
        <v>199</v>
      </c>
      <c r="V82" s="1">
        <v>194</v>
      </c>
      <c r="W82" s="1">
        <v>274</v>
      </c>
      <c r="X82" s="1">
        <v>283</v>
      </c>
      <c r="Y82" s="1">
        <v>431</v>
      </c>
      <c r="Z82" s="1">
        <v>199</v>
      </c>
    </row>
    <row r="83" spans="1:26" ht="15.6" x14ac:dyDescent="0.3">
      <c r="A83" s="1">
        <v>432</v>
      </c>
      <c r="B83" s="1">
        <v>37</v>
      </c>
      <c r="C83" s="1">
        <v>350</v>
      </c>
      <c r="D83" s="1">
        <v>456</v>
      </c>
      <c r="E83" s="1">
        <v>178</v>
      </c>
      <c r="G83" s="1">
        <v>432</v>
      </c>
      <c r="H83" s="1">
        <v>37</v>
      </c>
      <c r="I83" s="1">
        <v>350</v>
      </c>
      <c r="J83" s="1">
        <v>456</v>
      </c>
      <c r="K83" s="1">
        <v>178</v>
      </c>
      <c r="V83" s="1">
        <v>432</v>
      </c>
      <c r="W83" s="1">
        <v>37</v>
      </c>
      <c r="X83" s="1">
        <v>350</v>
      </c>
      <c r="Y83" s="1">
        <v>456</v>
      </c>
      <c r="Z83" s="1">
        <v>178</v>
      </c>
    </row>
    <row r="84" spans="1:26" ht="15.6" x14ac:dyDescent="0.3">
      <c r="A84" s="1">
        <v>92</v>
      </c>
      <c r="B84" s="1">
        <v>42</v>
      </c>
      <c r="C84" s="1">
        <v>446</v>
      </c>
      <c r="D84" s="1">
        <v>256</v>
      </c>
      <c r="E84" s="1">
        <v>73</v>
      </c>
      <c r="G84" s="1">
        <v>92</v>
      </c>
      <c r="H84" s="1">
        <v>42</v>
      </c>
      <c r="I84" s="1">
        <v>446</v>
      </c>
      <c r="J84" s="1">
        <v>256</v>
      </c>
      <c r="K84" s="1">
        <v>73</v>
      </c>
      <c r="V84" s="1">
        <v>92</v>
      </c>
      <c r="W84" s="1">
        <v>42</v>
      </c>
      <c r="X84" s="1">
        <v>446</v>
      </c>
      <c r="Y84" s="1">
        <v>256</v>
      </c>
      <c r="Z84" s="1">
        <v>73</v>
      </c>
    </row>
    <row r="85" spans="1:26" ht="15.6" x14ac:dyDescent="0.3">
      <c r="A85" s="1">
        <v>395</v>
      </c>
      <c r="B85" s="1">
        <v>320</v>
      </c>
      <c r="C85" s="1">
        <v>368</v>
      </c>
      <c r="D85" s="1">
        <v>258</v>
      </c>
      <c r="E85" s="1">
        <v>108</v>
      </c>
      <c r="G85" s="1">
        <v>395</v>
      </c>
      <c r="H85" s="1">
        <v>320</v>
      </c>
      <c r="I85" s="1">
        <v>368</v>
      </c>
      <c r="J85" s="1">
        <v>258</v>
      </c>
      <c r="K85" s="1">
        <v>108</v>
      </c>
      <c r="V85" s="1">
        <v>395</v>
      </c>
      <c r="W85" s="1">
        <v>320</v>
      </c>
      <c r="X85" s="1">
        <v>368</v>
      </c>
      <c r="Y85" s="1">
        <v>258</v>
      </c>
      <c r="Z85" s="1">
        <v>108</v>
      </c>
    </row>
    <row r="86" spans="1:26" ht="15.6" x14ac:dyDescent="0.3">
      <c r="A86" s="1">
        <v>341</v>
      </c>
      <c r="B86" s="1">
        <v>156</v>
      </c>
      <c r="C86" s="1">
        <v>188</v>
      </c>
      <c r="D86" s="1">
        <v>496</v>
      </c>
      <c r="E86" s="1">
        <v>432</v>
      </c>
      <c r="G86" s="1">
        <v>341</v>
      </c>
      <c r="H86" s="1">
        <v>156</v>
      </c>
      <c r="I86" s="1">
        <v>188</v>
      </c>
      <c r="J86" s="1">
        <v>496</v>
      </c>
      <c r="K86" s="1">
        <v>432</v>
      </c>
      <c r="V86" s="1">
        <v>341</v>
      </c>
      <c r="W86" s="1">
        <v>156</v>
      </c>
      <c r="X86" s="1">
        <v>188</v>
      </c>
      <c r="Y86" s="1">
        <v>496</v>
      </c>
      <c r="Z86" s="1">
        <v>432</v>
      </c>
    </row>
    <row r="87" spans="1:26" ht="15.6" x14ac:dyDescent="0.3">
      <c r="A87" s="1">
        <v>163</v>
      </c>
      <c r="B87" s="1">
        <v>337</v>
      </c>
      <c r="C87" s="1">
        <v>20</v>
      </c>
      <c r="D87" s="1">
        <v>61</v>
      </c>
      <c r="E87" s="1">
        <v>324</v>
      </c>
      <c r="G87" s="1">
        <v>163</v>
      </c>
      <c r="H87" s="1">
        <v>337</v>
      </c>
      <c r="I87" s="1">
        <v>20</v>
      </c>
      <c r="J87" s="1">
        <v>61</v>
      </c>
      <c r="K87" s="1">
        <v>324</v>
      </c>
      <c r="V87" s="1">
        <v>163</v>
      </c>
      <c r="W87" s="1">
        <v>337</v>
      </c>
      <c r="X87" s="1">
        <v>20</v>
      </c>
      <c r="Y87" s="1">
        <v>61</v>
      </c>
      <c r="Z87" s="1">
        <v>324</v>
      </c>
    </row>
    <row r="88" spans="1:26" ht="15.6" x14ac:dyDescent="0.3">
      <c r="A88" s="1">
        <v>197</v>
      </c>
      <c r="B88" s="1">
        <v>127</v>
      </c>
      <c r="C88" s="1">
        <v>193</v>
      </c>
      <c r="D88" s="1">
        <v>16</v>
      </c>
      <c r="E88" s="1">
        <v>176</v>
      </c>
      <c r="G88" s="1">
        <v>197</v>
      </c>
      <c r="H88" s="1">
        <v>127</v>
      </c>
      <c r="I88" s="1">
        <v>193</v>
      </c>
      <c r="J88" s="1">
        <v>16</v>
      </c>
      <c r="K88" s="1">
        <v>176</v>
      </c>
      <c r="V88" s="1">
        <v>197</v>
      </c>
      <c r="W88" s="1">
        <v>127</v>
      </c>
      <c r="X88" s="1">
        <v>193</v>
      </c>
      <c r="Y88" s="1">
        <v>16</v>
      </c>
      <c r="Z88" s="1">
        <v>176</v>
      </c>
    </row>
    <row r="89" spans="1:26" ht="15.6" x14ac:dyDescent="0.3">
      <c r="A89" s="1">
        <v>366</v>
      </c>
      <c r="B89" s="1">
        <v>70</v>
      </c>
      <c r="C89" s="1">
        <v>392</v>
      </c>
      <c r="D89" s="1">
        <v>242</v>
      </c>
      <c r="E89" s="1">
        <v>467</v>
      </c>
      <c r="G89" s="1">
        <v>366</v>
      </c>
      <c r="H89" s="1">
        <v>70</v>
      </c>
      <c r="I89" s="1">
        <v>392</v>
      </c>
      <c r="J89" s="1">
        <v>242</v>
      </c>
      <c r="K89" s="1">
        <v>467</v>
      </c>
      <c r="V89" s="1">
        <v>366</v>
      </c>
      <c r="W89" s="1">
        <v>70</v>
      </c>
      <c r="X89" s="1">
        <v>392</v>
      </c>
      <c r="Y89" s="1">
        <v>242</v>
      </c>
      <c r="Z89" s="1">
        <v>467</v>
      </c>
    </row>
    <row r="90" spans="1:26" ht="15.6" x14ac:dyDescent="0.3">
      <c r="A90" s="1">
        <v>354</v>
      </c>
      <c r="B90" s="1">
        <v>24</v>
      </c>
      <c r="C90" s="1">
        <v>109</v>
      </c>
      <c r="D90" s="1">
        <v>382</v>
      </c>
      <c r="E90" s="1">
        <v>418</v>
      </c>
      <c r="G90" s="1">
        <v>354</v>
      </c>
      <c r="H90" s="1">
        <v>24</v>
      </c>
      <c r="I90" s="1">
        <v>109</v>
      </c>
      <c r="J90" s="1">
        <v>382</v>
      </c>
      <c r="K90" s="1">
        <v>418</v>
      </c>
      <c r="V90" s="1">
        <v>354</v>
      </c>
      <c r="W90" s="1">
        <v>24</v>
      </c>
      <c r="X90" s="1">
        <v>109</v>
      </c>
      <c r="Y90" s="1">
        <v>382</v>
      </c>
      <c r="Z90" s="1">
        <v>418</v>
      </c>
    </row>
    <row r="91" spans="1:26" ht="15.6" x14ac:dyDescent="0.3">
      <c r="A91" s="1">
        <v>327</v>
      </c>
      <c r="B91" s="1">
        <v>93</v>
      </c>
      <c r="C91" s="1">
        <v>326</v>
      </c>
      <c r="D91" s="1">
        <v>196</v>
      </c>
      <c r="E91" s="1">
        <v>69</v>
      </c>
      <c r="G91" s="1">
        <v>327</v>
      </c>
      <c r="H91" s="1">
        <v>93</v>
      </c>
      <c r="I91" s="1">
        <v>326</v>
      </c>
      <c r="J91" s="1">
        <v>196</v>
      </c>
      <c r="K91" s="1">
        <v>69</v>
      </c>
      <c r="V91" s="1">
        <v>327</v>
      </c>
      <c r="W91" s="1">
        <v>93</v>
      </c>
      <c r="X91" s="1">
        <v>326</v>
      </c>
      <c r="Y91" s="1">
        <v>196</v>
      </c>
      <c r="Z91" s="1">
        <v>69</v>
      </c>
    </row>
    <row r="92" spans="1:26" ht="15.6" x14ac:dyDescent="0.3">
      <c r="A92" s="1">
        <v>289</v>
      </c>
      <c r="B92" s="1">
        <v>36</v>
      </c>
      <c r="C92" s="1">
        <v>314</v>
      </c>
      <c r="D92" s="1">
        <v>307</v>
      </c>
      <c r="E92" s="1">
        <v>439</v>
      </c>
      <c r="G92" s="1">
        <v>289</v>
      </c>
      <c r="H92" s="1">
        <v>36</v>
      </c>
      <c r="I92" s="1">
        <v>314</v>
      </c>
      <c r="J92" s="1">
        <v>307</v>
      </c>
      <c r="K92" s="1">
        <v>439</v>
      </c>
      <c r="V92" s="1">
        <v>289</v>
      </c>
      <c r="W92" s="1">
        <v>36</v>
      </c>
      <c r="X92" s="1">
        <v>314</v>
      </c>
      <c r="Y92" s="1">
        <v>307</v>
      </c>
      <c r="Z92" s="1">
        <v>439</v>
      </c>
    </row>
    <row r="93" spans="1:26" ht="15.6" x14ac:dyDescent="0.3">
      <c r="A93" s="1">
        <v>350</v>
      </c>
      <c r="B93" s="1">
        <v>1</v>
      </c>
      <c r="C93" s="1">
        <v>46</v>
      </c>
      <c r="D93" s="1">
        <v>285</v>
      </c>
      <c r="E93" s="1">
        <v>32</v>
      </c>
      <c r="G93" s="1">
        <v>350</v>
      </c>
      <c r="H93" s="1">
        <v>1</v>
      </c>
      <c r="I93" s="1">
        <v>46</v>
      </c>
      <c r="J93" s="1">
        <v>285</v>
      </c>
      <c r="K93" s="1">
        <v>32</v>
      </c>
      <c r="V93" s="1">
        <v>350</v>
      </c>
      <c r="W93" s="1">
        <v>1</v>
      </c>
      <c r="X93" s="1">
        <v>46</v>
      </c>
      <c r="Y93" s="1">
        <v>285</v>
      </c>
      <c r="Z93" s="1">
        <v>32</v>
      </c>
    </row>
    <row r="94" spans="1:26" ht="15.6" x14ac:dyDescent="0.3">
      <c r="A94" s="1">
        <v>127</v>
      </c>
      <c r="B94" s="1">
        <v>13</v>
      </c>
      <c r="C94" s="1">
        <v>246</v>
      </c>
      <c r="D94" s="1">
        <v>175</v>
      </c>
      <c r="E94" s="1">
        <v>311</v>
      </c>
      <c r="G94" s="1">
        <v>127</v>
      </c>
      <c r="H94" s="1">
        <v>13</v>
      </c>
      <c r="I94" s="1">
        <v>246</v>
      </c>
      <c r="J94" s="1">
        <v>175</v>
      </c>
      <c r="K94" s="1">
        <v>311</v>
      </c>
      <c r="V94" s="1">
        <v>127</v>
      </c>
      <c r="W94" s="1">
        <v>13</v>
      </c>
      <c r="X94" s="1">
        <v>246</v>
      </c>
      <c r="Y94" s="1">
        <v>175</v>
      </c>
      <c r="Z94" s="1">
        <v>311</v>
      </c>
    </row>
    <row r="95" spans="1:26" ht="15.6" x14ac:dyDescent="0.3">
      <c r="A95" s="1">
        <v>119</v>
      </c>
      <c r="B95" s="1">
        <v>271</v>
      </c>
      <c r="C95" s="1">
        <v>126</v>
      </c>
      <c r="D95" s="1">
        <v>369</v>
      </c>
      <c r="E95" s="1">
        <v>418</v>
      </c>
      <c r="G95" s="1">
        <v>119</v>
      </c>
      <c r="H95" s="1">
        <v>271</v>
      </c>
      <c r="I95" s="1">
        <v>126</v>
      </c>
      <c r="J95" s="1">
        <v>369</v>
      </c>
      <c r="K95" s="1">
        <v>418</v>
      </c>
      <c r="V95" s="1">
        <v>119</v>
      </c>
      <c r="W95" s="1">
        <v>271</v>
      </c>
      <c r="X95" s="1">
        <v>126</v>
      </c>
      <c r="Y95" s="1">
        <v>369</v>
      </c>
      <c r="Z95" s="1">
        <v>418</v>
      </c>
    </row>
    <row r="96" spans="1:26" ht="15.6" x14ac:dyDescent="0.3">
      <c r="A96" s="1">
        <v>380</v>
      </c>
      <c r="B96" s="1">
        <v>279</v>
      </c>
      <c r="C96" s="1">
        <v>456</v>
      </c>
      <c r="D96" s="1">
        <v>467</v>
      </c>
      <c r="E96" s="1">
        <v>416</v>
      </c>
      <c r="G96" s="1">
        <v>380</v>
      </c>
      <c r="H96" s="1">
        <v>279</v>
      </c>
      <c r="I96" s="1">
        <v>456</v>
      </c>
      <c r="J96" s="1">
        <v>467</v>
      </c>
      <c r="K96" s="1">
        <v>416</v>
      </c>
      <c r="V96" s="1">
        <v>380</v>
      </c>
      <c r="W96" s="1">
        <v>279</v>
      </c>
      <c r="X96" s="1">
        <v>456</v>
      </c>
      <c r="Y96" s="1">
        <v>467</v>
      </c>
      <c r="Z96" s="1">
        <v>416</v>
      </c>
    </row>
    <row r="97" spans="1:26" ht="15.6" x14ac:dyDescent="0.3">
      <c r="A97" s="1">
        <v>164</v>
      </c>
      <c r="B97" s="1">
        <v>172</v>
      </c>
      <c r="C97" s="1">
        <v>855</v>
      </c>
      <c r="D97" s="1">
        <v>7</v>
      </c>
      <c r="E97" s="1">
        <v>8</v>
      </c>
      <c r="G97" s="1">
        <v>164</v>
      </c>
      <c r="H97" s="1">
        <v>172</v>
      </c>
      <c r="I97" s="1">
        <v>855</v>
      </c>
      <c r="J97" s="1">
        <v>7</v>
      </c>
      <c r="K97" s="1">
        <v>8</v>
      </c>
      <c r="V97" s="1">
        <v>164</v>
      </c>
      <c r="W97" s="1">
        <v>172</v>
      </c>
      <c r="X97" s="1">
        <v>721</v>
      </c>
      <c r="Y97" s="1">
        <v>7</v>
      </c>
      <c r="Z97" s="1">
        <v>8</v>
      </c>
    </row>
    <row r="98" spans="1:26" ht="15.6" x14ac:dyDescent="0.3">
      <c r="A98" s="1">
        <v>439</v>
      </c>
      <c r="B98" s="1">
        <v>271</v>
      </c>
      <c r="C98" s="1">
        <v>251</v>
      </c>
      <c r="D98" s="1">
        <v>350</v>
      </c>
      <c r="E98" s="1">
        <v>384</v>
      </c>
      <c r="G98" s="1">
        <v>439</v>
      </c>
      <c r="H98" s="1">
        <v>271</v>
      </c>
      <c r="I98" s="1">
        <v>251</v>
      </c>
      <c r="J98" s="1">
        <v>350</v>
      </c>
      <c r="K98" s="1">
        <v>384</v>
      </c>
      <c r="V98" s="1">
        <v>439</v>
      </c>
      <c r="W98" s="1">
        <v>271</v>
      </c>
      <c r="X98" s="1">
        <v>251</v>
      </c>
      <c r="Y98" s="1">
        <v>350</v>
      </c>
      <c r="Z98" s="1">
        <v>384</v>
      </c>
    </row>
    <row r="99" spans="1:26" ht="15.6" x14ac:dyDescent="0.3">
      <c r="A99" s="1">
        <v>372</v>
      </c>
      <c r="B99" s="1">
        <v>317</v>
      </c>
      <c r="C99" s="1">
        <v>62</v>
      </c>
      <c r="D99" s="1">
        <v>333</v>
      </c>
      <c r="E99" s="1">
        <v>318</v>
      </c>
      <c r="G99" s="1">
        <v>372</v>
      </c>
      <c r="H99" s="1">
        <v>317</v>
      </c>
      <c r="I99" s="1">
        <v>62</v>
      </c>
      <c r="J99" s="1">
        <v>333</v>
      </c>
      <c r="K99" s="1">
        <v>318</v>
      </c>
      <c r="V99" s="1">
        <v>372</v>
      </c>
      <c r="W99" s="1">
        <v>317</v>
      </c>
      <c r="X99" s="1">
        <v>62</v>
      </c>
      <c r="Y99" s="1">
        <v>333</v>
      </c>
      <c r="Z99" s="1">
        <v>318</v>
      </c>
    </row>
    <row r="100" spans="1:26" ht="15.6" x14ac:dyDescent="0.3">
      <c r="A100" s="1">
        <v>270</v>
      </c>
      <c r="B100" s="1">
        <v>449</v>
      </c>
      <c r="C100" s="1">
        <v>38</v>
      </c>
      <c r="D100" s="1">
        <v>131</v>
      </c>
      <c r="E100" s="1">
        <v>192</v>
      </c>
      <c r="G100" s="1">
        <v>270</v>
      </c>
      <c r="H100" s="1">
        <v>449</v>
      </c>
      <c r="I100" s="1">
        <v>38</v>
      </c>
      <c r="J100" s="1">
        <v>131</v>
      </c>
      <c r="K100" s="1">
        <v>192</v>
      </c>
      <c r="V100" s="1">
        <v>270</v>
      </c>
      <c r="W100" s="1">
        <v>449</v>
      </c>
      <c r="X100" s="1">
        <v>38</v>
      </c>
      <c r="Y100" s="1">
        <v>131</v>
      </c>
      <c r="Z100" s="1">
        <v>192</v>
      </c>
    </row>
    <row r="101" spans="1:26" ht="15.6" x14ac:dyDescent="0.3">
      <c r="A101" s="1">
        <v>356</v>
      </c>
      <c r="B101" s="1">
        <v>372</v>
      </c>
      <c r="C101" s="1">
        <v>150</v>
      </c>
      <c r="D101" s="1">
        <v>64</v>
      </c>
      <c r="E101" s="1">
        <v>320</v>
      </c>
      <c r="G101" s="1">
        <v>356</v>
      </c>
      <c r="H101" s="1">
        <v>372</v>
      </c>
      <c r="I101" s="1">
        <v>150</v>
      </c>
      <c r="J101" s="1">
        <v>64</v>
      </c>
      <c r="K101" s="1">
        <v>320</v>
      </c>
      <c r="V101" s="1">
        <v>356</v>
      </c>
      <c r="W101" s="1">
        <v>372</v>
      </c>
      <c r="X101" s="1">
        <v>150</v>
      </c>
      <c r="Y101" s="1">
        <v>64</v>
      </c>
      <c r="Z101" s="1">
        <v>320</v>
      </c>
    </row>
    <row r="102" spans="1:26" ht="15.6" x14ac:dyDescent="0.3">
      <c r="A102" s="1">
        <v>369</v>
      </c>
      <c r="B102" s="1">
        <v>475</v>
      </c>
      <c r="C102" s="1">
        <v>455</v>
      </c>
      <c r="D102" s="1">
        <v>92</v>
      </c>
      <c r="E102" s="1">
        <v>79</v>
      </c>
      <c r="G102" s="1">
        <v>369</v>
      </c>
      <c r="H102" s="1">
        <v>475</v>
      </c>
      <c r="I102" s="1">
        <v>455</v>
      </c>
      <c r="J102" s="1">
        <v>92</v>
      </c>
      <c r="K102" s="1">
        <v>79</v>
      </c>
      <c r="V102" s="1">
        <v>369</v>
      </c>
      <c r="W102" s="1">
        <v>475</v>
      </c>
      <c r="X102" s="1">
        <v>455</v>
      </c>
      <c r="Y102" s="1">
        <v>92</v>
      </c>
      <c r="Z102" s="1">
        <v>79</v>
      </c>
    </row>
    <row r="103" spans="1:26" ht="15.6" x14ac:dyDescent="0.3">
      <c r="A103" s="1">
        <v>293</v>
      </c>
      <c r="B103" s="1">
        <v>229</v>
      </c>
      <c r="C103" s="1">
        <v>31</v>
      </c>
      <c r="D103" s="1">
        <v>300</v>
      </c>
      <c r="E103" s="1">
        <v>360</v>
      </c>
      <c r="G103" s="1">
        <v>293</v>
      </c>
      <c r="H103" s="1">
        <v>229</v>
      </c>
      <c r="I103" s="1">
        <v>31</v>
      </c>
      <c r="J103" s="1">
        <v>300</v>
      </c>
      <c r="K103" s="1">
        <v>360</v>
      </c>
      <c r="V103" s="1">
        <v>293</v>
      </c>
      <c r="W103" s="1">
        <v>229</v>
      </c>
      <c r="X103" s="1">
        <v>31</v>
      </c>
      <c r="Y103" s="1">
        <v>300</v>
      </c>
      <c r="Z103" s="1">
        <v>360</v>
      </c>
    </row>
    <row r="104" spans="1:26" ht="15.6" x14ac:dyDescent="0.3">
      <c r="A104" s="1">
        <v>373</v>
      </c>
      <c r="B104" s="1">
        <v>482</v>
      </c>
      <c r="C104" s="1">
        <v>193</v>
      </c>
      <c r="D104" s="1">
        <v>144</v>
      </c>
      <c r="E104" s="1">
        <v>51</v>
      </c>
      <c r="G104" s="1">
        <v>373</v>
      </c>
      <c r="H104" s="1">
        <v>482</v>
      </c>
      <c r="I104" s="1">
        <v>193</v>
      </c>
      <c r="J104" s="1">
        <v>144</v>
      </c>
      <c r="K104" s="1">
        <v>51</v>
      </c>
      <c r="V104" s="1">
        <v>373</v>
      </c>
      <c r="W104" s="1">
        <v>482</v>
      </c>
      <c r="X104" s="1">
        <v>193</v>
      </c>
      <c r="Y104" s="1">
        <v>144</v>
      </c>
      <c r="Z104" s="1">
        <v>51</v>
      </c>
    </row>
    <row r="105" spans="1:26" ht="15.6" x14ac:dyDescent="0.3">
      <c r="A105" s="1">
        <v>63</v>
      </c>
      <c r="B105" s="1">
        <v>249</v>
      </c>
      <c r="C105" s="1">
        <v>83</v>
      </c>
      <c r="D105" s="1">
        <v>344</v>
      </c>
      <c r="E105" s="1">
        <v>36</v>
      </c>
      <c r="G105" s="1">
        <v>63</v>
      </c>
      <c r="H105" s="1">
        <v>249</v>
      </c>
      <c r="I105" s="1">
        <v>83</v>
      </c>
      <c r="J105" s="1">
        <v>344</v>
      </c>
      <c r="K105" s="1">
        <v>36</v>
      </c>
      <c r="V105" s="1">
        <v>63</v>
      </c>
      <c r="W105" s="1">
        <v>249</v>
      </c>
      <c r="X105" s="1">
        <v>83</v>
      </c>
      <c r="Y105" s="1">
        <v>344</v>
      </c>
      <c r="Z105" s="1">
        <v>36</v>
      </c>
    </row>
    <row r="106" spans="1:26" ht="15.6" x14ac:dyDescent="0.3">
      <c r="A106" s="1">
        <v>176</v>
      </c>
      <c r="B106" s="1">
        <v>430</v>
      </c>
      <c r="C106" s="1">
        <v>234</v>
      </c>
      <c r="D106" s="1">
        <v>231</v>
      </c>
      <c r="E106" s="1">
        <v>387</v>
      </c>
      <c r="G106" s="1">
        <v>176</v>
      </c>
      <c r="H106" s="1">
        <v>430</v>
      </c>
      <c r="I106" s="1">
        <v>234</v>
      </c>
      <c r="J106" s="1">
        <v>231</v>
      </c>
      <c r="K106" s="1">
        <v>387</v>
      </c>
      <c r="V106" s="1">
        <v>176</v>
      </c>
      <c r="W106" s="1">
        <v>430</v>
      </c>
      <c r="X106" s="1">
        <v>234</v>
      </c>
      <c r="Y106" s="1">
        <v>231</v>
      </c>
      <c r="Z106" s="1">
        <v>387</v>
      </c>
    </row>
    <row r="107" spans="1:26" ht="15.6" x14ac:dyDescent="0.3">
      <c r="A107" s="1">
        <v>293</v>
      </c>
      <c r="B107" s="1">
        <v>143</v>
      </c>
      <c r="C107" s="1">
        <v>96</v>
      </c>
      <c r="D107" s="1">
        <v>10</v>
      </c>
      <c r="E107" s="1">
        <v>96</v>
      </c>
      <c r="G107" s="1">
        <v>293</v>
      </c>
      <c r="H107" s="1">
        <v>143</v>
      </c>
      <c r="I107" s="1">
        <v>96</v>
      </c>
      <c r="J107" s="1">
        <v>10</v>
      </c>
      <c r="K107" s="1">
        <v>96</v>
      </c>
      <c r="V107" s="1">
        <v>293</v>
      </c>
      <c r="W107" s="1">
        <v>143</v>
      </c>
      <c r="X107" s="1">
        <v>96</v>
      </c>
      <c r="Y107" s="1">
        <v>10</v>
      </c>
      <c r="Z107" s="1">
        <v>96</v>
      </c>
    </row>
    <row r="108" spans="1:26" ht="15.6" x14ac:dyDescent="0.3">
      <c r="A108" s="1">
        <v>96</v>
      </c>
      <c r="B108" s="1">
        <v>499</v>
      </c>
      <c r="C108" s="1">
        <v>295</v>
      </c>
      <c r="D108" s="1">
        <v>294</v>
      </c>
      <c r="E108" s="1">
        <v>317</v>
      </c>
      <c r="G108" s="1">
        <v>96</v>
      </c>
      <c r="H108" s="1">
        <v>499</v>
      </c>
      <c r="I108" s="1">
        <v>295</v>
      </c>
      <c r="J108" s="1">
        <v>294</v>
      </c>
      <c r="K108" s="1">
        <v>317</v>
      </c>
      <c r="V108" s="1">
        <v>96</v>
      </c>
      <c r="W108" s="1">
        <v>499</v>
      </c>
      <c r="X108" s="1">
        <v>295</v>
      </c>
      <c r="Y108" s="1">
        <v>294</v>
      </c>
      <c r="Z108" s="1">
        <v>317</v>
      </c>
    </row>
    <row r="109" spans="1:26" ht="15.6" x14ac:dyDescent="0.3">
      <c r="A109" s="1">
        <v>446</v>
      </c>
      <c r="B109" s="1">
        <v>365</v>
      </c>
      <c r="C109" s="1">
        <v>174</v>
      </c>
      <c r="D109" s="1">
        <v>438</v>
      </c>
      <c r="E109" s="1">
        <v>430</v>
      </c>
      <c r="G109" s="1">
        <v>446</v>
      </c>
      <c r="H109" s="1">
        <v>365</v>
      </c>
      <c r="I109" s="1">
        <v>174</v>
      </c>
      <c r="J109" s="1">
        <v>438</v>
      </c>
      <c r="K109" s="1">
        <v>430</v>
      </c>
      <c r="V109" s="1">
        <v>446</v>
      </c>
      <c r="W109" s="1">
        <v>365</v>
      </c>
      <c r="X109" s="1">
        <v>174</v>
      </c>
      <c r="Y109" s="1">
        <v>438</v>
      </c>
      <c r="Z109" s="1">
        <v>430</v>
      </c>
    </row>
    <row r="110" spans="1:26" ht="15.6" x14ac:dyDescent="0.3">
      <c r="A110" s="1">
        <v>225</v>
      </c>
      <c r="B110" s="1">
        <v>113</v>
      </c>
      <c r="C110" s="1">
        <v>472</v>
      </c>
      <c r="D110" s="1">
        <v>459</v>
      </c>
      <c r="E110" s="1">
        <v>450</v>
      </c>
      <c r="G110" s="1">
        <v>225</v>
      </c>
      <c r="H110" s="1">
        <v>113</v>
      </c>
      <c r="I110" s="1">
        <v>472</v>
      </c>
      <c r="J110" s="1">
        <v>459</v>
      </c>
      <c r="K110" s="1">
        <v>450</v>
      </c>
      <c r="V110" s="1">
        <v>225</v>
      </c>
      <c r="W110" s="1">
        <v>113</v>
      </c>
      <c r="X110" s="1">
        <v>472</v>
      </c>
      <c r="Y110" s="1">
        <v>459</v>
      </c>
      <c r="Z110" s="1">
        <v>450</v>
      </c>
    </row>
    <row r="111" spans="1:26" ht="15.6" x14ac:dyDescent="0.3">
      <c r="A111" s="1">
        <v>486</v>
      </c>
      <c r="B111" s="1">
        <v>73</v>
      </c>
      <c r="C111" s="1">
        <v>478</v>
      </c>
      <c r="D111" s="1">
        <v>436</v>
      </c>
      <c r="E111" s="1">
        <v>308</v>
      </c>
      <c r="G111" s="1">
        <v>486</v>
      </c>
      <c r="H111" s="1">
        <v>73</v>
      </c>
      <c r="I111" s="1">
        <v>478</v>
      </c>
      <c r="J111" s="1">
        <v>436</v>
      </c>
      <c r="K111" s="1">
        <v>308</v>
      </c>
      <c r="V111" s="1">
        <v>486</v>
      </c>
      <c r="W111" s="1">
        <v>73</v>
      </c>
      <c r="X111" s="1">
        <v>478</v>
      </c>
      <c r="Y111" s="1">
        <v>436</v>
      </c>
      <c r="Z111" s="1">
        <v>308</v>
      </c>
    </row>
    <row r="112" spans="1:26" ht="15.6" x14ac:dyDescent="0.3">
      <c r="A112" s="1">
        <v>49</v>
      </c>
      <c r="B112" s="1">
        <v>221</v>
      </c>
      <c r="C112" s="1">
        <v>309</v>
      </c>
      <c r="D112" s="1">
        <v>15</v>
      </c>
      <c r="E112" s="1">
        <v>123</v>
      </c>
      <c r="G112" s="1">
        <v>49</v>
      </c>
      <c r="H112" s="1">
        <v>221</v>
      </c>
      <c r="I112" s="1">
        <v>309</v>
      </c>
      <c r="J112" s="1">
        <v>15</v>
      </c>
      <c r="K112" s="1">
        <v>123</v>
      </c>
      <c r="V112" s="1">
        <v>49</v>
      </c>
      <c r="W112" s="1">
        <v>221</v>
      </c>
      <c r="X112" s="1">
        <v>309</v>
      </c>
      <c r="Y112" s="1">
        <v>15</v>
      </c>
      <c r="Z112" s="1">
        <v>123</v>
      </c>
    </row>
    <row r="113" spans="1:26" ht="15.6" x14ac:dyDescent="0.3">
      <c r="A113" s="1">
        <v>426</v>
      </c>
      <c r="B113" s="1">
        <v>103</v>
      </c>
      <c r="C113" s="1">
        <v>7</v>
      </c>
      <c r="D113" s="1">
        <v>260</v>
      </c>
      <c r="E113" s="1">
        <v>289</v>
      </c>
      <c r="G113" s="1">
        <v>426</v>
      </c>
      <c r="H113" s="1">
        <v>103</v>
      </c>
      <c r="I113" s="1">
        <v>7</v>
      </c>
      <c r="J113" s="1">
        <v>260</v>
      </c>
      <c r="K113" s="1">
        <v>289</v>
      </c>
      <c r="V113" s="1">
        <v>426</v>
      </c>
      <c r="W113" s="1">
        <v>103</v>
      </c>
      <c r="X113" s="1">
        <v>7</v>
      </c>
      <c r="Y113" s="1">
        <v>260</v>
      </c>
      <c r="Z113" s="1">
        <v>289</v>
      </c>
    </row>
    <row r="114" spans="1:26" ht="15.6" x14ac:dyDescent="0.3">
      <c r="A114" s="1">
        <v>369</v>
      </c>
      <c r="B114" s="1">
        <v>187</v>
      </c>
      <c r="C114" s="1">
        <v>104</v>
      </c>
      <c r="D114" s="1">
        <v>181</v>
      </c>
      <c r="E114" s="1">
        <v>78</v>
      </c>
      <c r="G114" s="1">
        <v>369</v>
      </c>
      <c r="H114" s="1">
        <v>187</v>
      </c>
      <c r="I114" s="1">
        <v>104</v>
      </c>
      <c r="J114" s="1">
        <v>181</v>
      </c>
      <c r="K114" s="1">
        <v>78</v>
      </c>
      <c r="V114" s="1">
        <v>369</v>
      </c>
      <c r="W114" s="1">
        <v>187</v>
      </c>
      <c r="X114" s="1">
        <v>104</v>
      </c>
      <c r="Y114" s="1">
        <v>181</v>
      </c>
      <c r="Z114" s="1">
        <v>78</v>
      </c>
    </row>
    <row r="115" spans="1:26" ht="15.6" x14ac:dyDescent="0.3">
      <c r="A115" s="1">
        <v>225</v>
      </c>
      <c r="B115" s="1">
        <v>388</v>
      </c>
      <c r="C115" s="1">
        <v>204</v>
      </c>
      <c r="D115" s="1">
        <v>193</v>
      </c>
      <c r="E115" s="1">
        <v>191</v>
      </c>
      <c r="G115" s="1">
        <v>225</v>
      </c>
      <c r="H115" s="1">
        <v>388</v>
      </c>
      <c r="I115" s="1">
        <v>204</v>
      </c>
      <c r="J115" s="1">
        <v>193</v>
      </c>
      <c r="K115" s="1">
        <v>191</v>
      </c>
      <c r="V115" s="1">
        <v>225</v>
      </c>
      <c r="W115" s="1">
        <v>388</v>
      </c>
      <c r="X115" s="1">
        <v>204</v>
      </c>
      <c r="Y115" s="1">
        <v>193</v>
      </c>
      <c r="Z115" s="1">
        <v>191</v>
      </c>
    </row>
    <row r="116" spans="1:26" ht="15.6" x14ac:dyDescent="0.3">
      <c r="A116" s="1">
        <v>484</v>
      </c>
      <c r="B116" s="1">
        <v>228</v>
      </c>
      <c r="C116" s="1">
        <v>335</v>
      </c>
      <c r="D116" s="1">
        <v>57</v>
      </c>
      <c r="E116" s="1">
        <v>138</v>
      </c>
      <c r="G116" s="1">
        <v>484</v>
      </c>
      <c r="H116" s="1">
        <v>228</v>
      </c>
      <c r="I116" s="1">
        <v>335</v>
      </c>
      <c r="J116" s="1">
        <v>57</v>
      </c>
      <c r="K116" s="1">
        <v>138</v>
      </c>
      <c r="V116" s="1">
        <v>484</v>
      </c>
      <c r="W116" s="1">
        <v>228</v>
      </c>
      <c r="X116" s="1">
        <v>335</v>
      </c>
      <c r="Y116" s="1">
        <v>57</v>
      </c>
      <c r="Z116" s="1">
        <v>138</v>
      </c>
    </row>
    <row r="117" spans="1:26" ht="15.6" x14ac:dyDescent="0.3">
      <c r="A117" s="1">
        <v>372</v>
      </c>
      <c r="B117" s="1">
        <v>190</v>
      </c>
      <c r="C117" s="1">
        <v>345</v>
      </c>
      <c r="D117" s="1">
        <v>270</v>
      </c>
      <c r="E117" s="1">
        <v>481</v>
      </c>
      <c r="G117" s="1">
        <v>372</v>
      </c>
      <c r="H117" s="1">
        <v>190</v>
      </c>
      <c r="I117" s="1">
        <v>345</v>
      </c>
      <c r="J117" s="1">
        <v>270</v>
      </c>
      <c r="K117" s="1">
        <v>481</v>
      </c>
      <c r="V117" s="1">
        <v>372</v>
      </c>
      <c r="W117" s="1">
        <v>190</v>
      </c>
      <c r="X117" s="1">
        <v>345</v>
      </c>
      <c r="Y117" s="1">
        <v>270</v>
      </c>
      <c r="Z117" s="1">
        <v>481</v>
      </c>
    </row>
    <row r="118" spans="1:26" ht="15.6" x14ac:dyDescent="0.3">
      <c r="A118" s="1">
        <v>318</v>
      </c>
      <c r="B118" s="1">
        <v>255</v>
      </c>
      <c r="C118" s="1">
        <v>433</v>
      </c>
      <c r="D118" s="1">
        <v>270</v>
      </c>
      <c r="E118" s="1">
        <v>246</v>
      </c>
      <c r="G118" s="1">
        <v>318</v>
      </c>
      <c r="H118" s="1">
        <v>255</v>
      </c>
      <c r="I118" s="1">
        <v>433</v>
      </c>
      <c r="J118" s="1">
        <v>270</v>
      </c>
      <c r="K118" s="1">
        <v>246</v>
      </c>
      <c r="V118" s="1">
        <v>318</v>
      </c>
      <c r="W118" s="1">
        <v>255</v>
      </c>
      <c r="X118" s="1">
        <v>433</v>
      </c>
      <c r="Y118" s="1">
        <v>270</v>
      </c>
      <c r="Z118" s="1">
        <v>246</v>
      </c>
    </row>
    <row r="119" spans="1:26" ht="15.6" x14ac:dyDescent="0.3">
      <c r="A119" s="1">
        <v>177</v>
      </c>
      <c r="B119" s="1">
        <v>132</v>
      </c>
      <c r="C119" s="1">
        <v>141</v>
      </c>
      <c r="D119" s="1">
        <v>476</v>
      </c>
      <c r="E119" s="1">
        <v>419</v>
      </c>
      <c r="G119" s="1">
        <v>177</v>
      </c>
      <c r="H119" s="1">
        <v>132</v>
      </c>
      <c r="I119" s="1">
        <v>141</v>
      </c>
      <c r="J119" s="1">
        <v>476</v>
      </c>
      <c r="K119" s="1">
        <v>419</v>
      </c>
      <c r="V119" s="1">
        <v>177</v>
      </c>
      <c r="W119" s="1">
        <v>132</v>
      </c>
      <c r="X119" s="1">
        <v>141</v>
      </c>
      <c r="Y119" s="1">
        <v>476</v>
      </c>
      <c r="Z119" s="1">
        <v>419</v>
      </c>
    </row>
    <row r="120" spans="1:26" ht="15.6" x14ac:dyDescent="0.3">
      <c r="A120" s="1">
        <v>62</v>
      </c>
      <c r="B120" s="1">
        <v>235</v>
      </c>
      <c r="C120" s="1">
        <v>401</v>
      </c>
      <c r="D120" s="1">
        <v>196</v>
      </c>
      <c r="E120" s="1">
        <v>418</v>
      </c>
      <c r="G120" s="1">
        <v>62</v>
      </c>
      <c r="H120" s="1">
        <v>235</v>
      </c>
      <c r="I120" s="1">
        <v>401</v>
      </c>
      <c r="J120" s="1">
        <v>196</v>
      </c>
      <c r="K120" s="1">
        <v>418</v>
      </c>
      <c r="V120" s="1">
        <v>62</v>
      </c>
      <c r="W120" s="1">
        <v>235</v>
      </c>
      <c r="X120" s="1">
        <v>401</v>
      </c>
      <c r="Y120" s="1">
        <v>196</v>
      </c>
      <c r="Z120" s="1">
        <v>418</v>
      </c>
    </row>
    <row r="121" spans="1:26" ht="15.6" x14ac:dyDescent="0.3">
      <c r="A121" s="1">
        <v>358</v>
      </c>
      <c r="B121" s="1">
        <v>262</v>
      </c>
      <c r="C121" s="1">
        <v>324</v>
      </c>
      <c r="D121" s="1">
        <v>455</v>
      </c>
      <c r="E121" s="1">
        <v>430</v>
      </c>
      <c r="G121" s="1">
        <v>358</v>
      </c>
      <c r="H121" s="1">
        <v>262</v>
      </c>
      <c r="I121" s="1">
        <v>324</v>
      </c>
      <c r="J121" s="1">
        <v>455</v>
      </c>
      <c r="K121" s="1">
        <v>430</v>
      </c>
      <c r="V121" s="1">
        <v>358</v>
      </c>
      <c r="W121" s="1">
        <v>262</v>
      </c>
      <c r="X121" s="1">
        <v>324</v>
      </c>
      <c r="Y121" s="1">
        <v>455</v>
      </c>
      <c r="Z121" s="1">
        <v>430</v>
      </c>
    </row>
    <row r="122" spans="1:26" ht="15.6" x14ac:dyDescent="0.3">
      <c r="A122" s="1">
        <v>345</v>
      </c>
      <c r="B122" s="1">
        <v>470</v>
      </c>
      <c r="C122" s="1">
        <v>334</v>
      </c>
      <c r="D122" s="1">
        <v>326</v>
      </c>
      <c r="E122" s="1">
        <v>316</v>
      </c>
      <c r="G122" s="1">
        <v>345</v>
      </c>
      <c r="H122" s="1">
        <v>470</v>
      </c>
      <c r="I122" s="1">
        <v>334</v>
      </c>
      <c r="J122" s="1">
        <v>326</v>
      </c>
      <c r="K122" s="1">
        <v>316</v>
      </c>
      <c r="V122" s="1">
        <v>345</v>
      </c>
      <c r="W122" s="1">
        <v>470</v>
      </c>
      <c r="X122" s="1">
        <v>334</v>
      </c>
      <c r="Y122" s="1">
        <v>326</v>
      </c>
      <c r="Z122" s="1">
        <v>316</v>
      </c>
    </row>
    <row r="123" spans="1:26" ht="15.6" x14ac:dyDescent="0.3">
      <c r="A123" s="1">
        <v>321</v>
      </c>
      <c r="B123" s="1">
        <v>290</v>
      </c>
      <c r="C123" s="1">
        <v>174</v>
      </c>
      <c r="D123" s="1">
        <v>26</v>
      </c>
      <c r="E123" s="1">
        <v>35</v>
      </c>
      <c r="G123" s="1">
        <v>321</v>
      </c>
      <c r="H123" s="1">
        <v>290</v>
      </c>
      <c r="I123" s="1">
        <v>174</v>
      </c>
      <c r="J123" s="1">
        <v>26</v>
      </c>
      <c r="K123" s="1">
        <v>35</v>
      </c>
      <c r="V123" s="1">
        <v>321</v>
      </c>
      <c r="W123" s="1">
        <v>290</v>
      </c>
      <c r="X123" s="1">
        <v>174</v>
      </c>
      <c r="Y123" s="1">
        <v>26</v>
      </c>
      <c r="Z123" s="1">
        <v>35</v>
      </c>
    </row>
    <row r="124" spans="1:26" ht="15.6" x14ac:dyDescent="0.3">
      <c r="A124" s="1">
        <v>41</v>
      </c>
      <c r="B124" s="1">
        <v>427</v>
      </c>
      <c r="C124" s="1">
        <v>168</v>
      </c>
      <c r="D124" s="1">
        <v>359</v>
      </c>
      <c r="E124" s="1">
        <v>114</v>
      </c>
      <c r="G124" s="1">
        <v>41</v>
      </c>
      <c r="H124" s="1">
        <v>427</v>
      </c>
      <c r="I124" s="1">
        <v>168</v>
      </c>
      <c r="J124" s="1">
        <v>359</v>
      </c>
      <c r="K124" s="1">
        <v>114</v>
      </c>
      <c r="V124" s="1">
        <v>41</v>
      </c>
      <c r="W124" s="1">
        <v>427</v>
      </c>
      <c r="X124" s="1">
        <v>168</v>
      </c>
      <c r="Y124" s="1">
        <v>359</v>
      </c>
      <c r="Z124" s="1">
        <v>114</v>
      </c>
    </row>
    <row r="125" spans="1:26" ht="15.6" x14ac:dyDescent="0.3">
      <c r="A125" s="1">
        <v>70</v>
      </c>
      <c r="B125" s="1">
        <v>286</v>
      </c>
      <c r="C125" s="1">
        <v>292</v>
      </c>
      <c r="D125" s="1">
        <v>1000</v>
      </c>
      <c r="E125" s="1">
        <v>53</v>
      </c>
      <c r="G125" s="1">
        <v>70</v>
      </c>
      <c r="H125" s="1">
        <v>286</v>
      </c>
      <c r="I125" s="1">
        <v>292</v>
      </c>
      <c r="J125" s="1">
        <v>1000</v>
      </c>
      <c r="K125" s="1">
        <v>53</v>
      </c>
      <c r="V125" s="1">
        <v>70</v>
      </c>
      <c r="W125" s="1">
        <v>286</v>
      </c>
      <c r="X125" s="1">
        <v>292</v>
      </c>
      <c r="Y125" s="1">
        <v>760</v>
      </c>
      <c r="Z125" s="1">
        <v>53</v>
      </c>
    </row>
    <row r="126" spans="1:26" ht="15.6" x14ac:dyDescent="0.3">
      <c r="A126" s="1">
        <v>283</v>
      </c>
      <c r="B126" s="1">
        <v>450</v>
      </c>
      <c r="C126" s="1">
        <v>88</v>
      </c>
      <c r="D126" s="1">
        <v>439</v>
      </c>
      <c r="E126" s="1">
        <v>194</v>
      </c>
      <c r="G126" s="1">
        <v>283</v>
      </c>
      <c r="H126" s="1">
        <v>450</v>
      </c>
      <c r="I126" s="1">
        <v>88</v>
      </c>
      <c r="J126" s="1">
        <v>439</v>
      </c>
      <c r="K126" s="1">
        <v>194</v>
      </c>
      <c r="V126" s="1">
        <v>283</v>
      </c>
      <c r="W126" s="1">
        <v>450</v>
      </c>
      <c r="X126" s="1">
        <v>88</v>
      </c>
      <c r="Y126" s="1">
        <v>439</v>
      </c>
      <c r="Z126" s="1">
        <v>194</v>
      </c>
    </row>
    <row r="127" spans="1:26" ht="15.6" x14ac:dyDescent="0.3">
      <c r="A127" s="1">
        <v>413</v>
      </c>
      <c r="B127" s="1">
        <v>252</v>
      </c>
      <c r="C127" s="1">
        <v>95</v>
      </c>
      <c r="D127" s="1">
        <v>393</v>
      </c>
      <c r="E127" s="1">
        <v>453</v>
      </c>
      <c r="G127" s="1">
        <v>413</v>
      </c>
      <c r="H127" s="1">
        <v>252</v>
      </c>
      <c r="I127" s="1">
        <v>95</v>
      </c>
      <c r="J127" s="1">
        <v>393</v>
      </c>
      <c r="K127" s="1">
        <v>453</v>
      </c>
      <c r="V127" s="1">
        <v>413</v>
      </c>
      <c r="W127" s="1">
        <v>252</v>
      </c>
      <c r="X127" s="1">
        <v>95</v>
      </c>
      <c r="Y127" s="1">
        <v>393</v>
      </c>
      <c r="Z127" s="1">
        <v>453</v>
      </c>
    </row>
    <row r="128" spans="1:26" ht="15.6" x14ac:dyDescent="0.3">
      <c r="A128" s="1">
        <v>288</v>
      </c>
      <c r="B128" s="1">
        <v>347</v>
      </c>
      <c r="C128" s="1">
        <v>478</v>
      </c>
      <c r="D128" s="1">
        <v>274</v>
      </c>
      <c r="E128" s="1">
        <v>467</v>
      </c>
      <c r="G128" s="1">
        <v>288</v>
      </c>
      <c r="H128" s="1">
        <v>347</v>
      </c>
      <c r="I128" s="1">
        <v>478</v>
      </c>
      <c r="J128" s="1">
        <v>274</v>
      </c>
      <c r="K128" s="1">
        <v>467</v>
      </c>
      <c r="V128" s="1">
        <v>288</v>
      </c>
      <c r="W128" s="1">
        <v>347</v>
      </c>
      <c r="X128" s="1">
        <v>478</v>
      </c>
      <c r="Y128" s="1">
        <v>274</v>
      </c>
      <c r="Z128" s="1">
        <v>467</v>
      </c>
    </row>
    <row r="129" spans="1:26" ht="15.6" x14ac:dyDescent="0.3">
      <c r="A129" s="1">
        <v>236</v>
      </c>
      <c r="B129" s="1">
        <v>235</v>
      </c>
      <c r="C129" s="1">
        <v>119</v>
      </c>
      <c r="D129" s="1">
        <v>18</v>
      </c>
      <c r="E129" s="1">
        <v>370</v>
      </c>
      <c r="G129" s="1">
        <v>236</v>
      </c>
      <c r="H129" s="1">
        <v>235</v>
      </c>
      <c r="I129" s="1">
        <v>119</v>
      </c>
      <c r="J129" s="1">
        <v>18</v>
      </c>
      <c r="K129" s="1">
        <v>370</v>
      </c>
      <c r="V129" s="1">
        <v>236</v>
      </c>
      <c r="W129" s="1">
        <v>235</v>
      </c>
      <c r="X129" s="1">
        <v>119</v>
      </c>
      <c r="Y129" s="1">
        <v>18</v>
      </c>
      <c r="Z129" s="1">
        <v>370</v>
      </c>
    </row>
    <row r="130" spans="1:26" ht="15.6" x14ac:dyDescent="0.3">
      <c r="A130" s="1">
        <v>435</v>
      </c>
      <c r="B130" s="1">
        <v>412</v>
      </c>
      <c r="C130" s="1">
        <v>16</v>
      </c>
      <c r="D130" s="1">
        <v>45</v>
      </c>
      <c r="E130" s="1">
        <v>243</v>
      </c>
      <c r="G130" s="1">
        <v>435</v>
      </c>
      <c r="H130" s="1">
        <v>412</v>
      </c>
      <c r="I130" s="1">
        <v>16</v>
      </c>
      <c r="J130" s="1">
        <v>45</v>
      </c>
      <c r="K130" s="1">
        <v>243</v>
      </c>
      <c r="V130" s="1">
        <v>435</v>
      </c>
      <c r="W130" s="1">
        <v>412</v>
      </c>
      <c r="X130" s="1">
        <v>16</v>
      </c>
      <c r="Y130" s="1">
        <v>45</v>
      </c>
      <c r="Z130" s="1">
        <v>243</v>
      </c>
    </row>
    <row r="131" spans="1:26" ht="15.6" x14ac:dyDescent="0.3">
      <c r="A131" s="1">
        <v>320</v>
      </c>
      <c r="B131" s="1">
        <v>294</v>
      </c>
      <c r="C131" s="1">
        <v>332</v>
      </c>
      <c r="D131" s="1">
        <v>172</v>
      </c>
      <c r="E131" s="1">
        <v>377</v>
      </c>
      <c r="G131" s="1">
        <v>320</v>
      </c>
      <c r="H131" s="1">
        <v>294</v>
      </c>
      <c r="I131" s="1">
        <v>332</v>
      </c>
      <c r="J131" s="1">
        <v>172</v>
      </c>
      <c r="K131" s="1">
        <v>377</v>
      </c>
      <c r="V131" s="1">
        <v>320</v>
      </c>
      <c r="W131" s="1">
        <v>294</v>
      </c>
      <c r="X131" s="1">
        <v>332</v>
      </c>
      <c r="Y131" s="1">
        <v>172</v>
      </c>
      <c r="Z131" s="1">
        <v>377</v>
      </c>
    </row>
    <row r="132" spans="1:26" ht="15.6" x14ac:dyDescent="0.3">
      <c r="A132" s="1">
        <v>28</v>
      </c>
      <c r="B132" s="1">
        <v>119</v>
      </c>
      <c r="C132" s="1">
        <v>111</v>
      </c>
      <c r="D132" s="1">
        <v>315</v>
      </c>
      <c r="E132" s="1">
        <v>61</v>
      </c>
      <c r="G132" s="1">
        <v>28</v>
      </c>
      <c r="H132" s="1">
        <v>119</v>
      </c>
      <c r="I132" s="1">
        <v>111</v>
      </c>
      <c r="J132" s="1">
        <v>315</v>
      </c>
      <c r="K132" s="1">
        <v>61</v>
      </c>
      <c r="V132" s="1">
        <v>28</v>
      </c>
      <c r="W132" s="1">
        <v>119</v>
      </c>
      <c r="X132" s="1">
        <v>111</v>
      </c>
      <c r="Y132" s="1">
        <v>315</v>
      </c>
      <c r="Z132" s="1">
        <v>61</v>
      </c>
    </row>
    <row r="133" spans="1:26" ht="15.6" x14ac:dyDescent="0.3">
      <c r="A133" s="1">
        <v>424</v>
      </c>
      <c r="B133" s="1">
        <v>176</v>
      </c>
      <c r="C133" s="1">
        <v>346</v>
      </c>
      <c r="D133" s="1">
        <v>485</v>
      </c>
      <c r="E133" s="1">
        <v>422</v>
      </c>
      <c r="G133" s="1">
        <v>424</v>
      </c>
      <c r="H133" s="1">
        <v>176</v>
      </c>
      <c r="I133" s="1">
        <v>346</v>
      </c>
      <c r="J133" s="1">
        <v>485</v>
      </c>
      <c r="K133" s="1">
        <v>422</v>
      </c>
      <c r="V133" s="1">
        <v>424</v>
      </c>
      <c r="W133" s="1">
        <v>176</v>
      </c>
      <c r="X133" s="1">
        <v>346</v>
      </c>
      <c r="Y133" s="1">
        <v>485</v>
      </c>
      <c r="Z133" s="1">
        <v>422</v>
      </c>
    </row>
    <row r="134" spans="1:26" ht="15.6" x14ac:dyDescent="0.3">
      <c r="A134" s="1">
        <v>487</v>
      </c>
      <c r="B134" s="1">
        <v>272</v>
      </c>
      <c r="C134" s="1">
        <v>175</v>
      </c>
      <c r="D134" s="1">
        <v>364</v>
      </c>
      <c r="E134" s="1">
        <v>252</v>
      </c>
      <c r="G134" s="1">
        <v>487</v>
      </c>
      <c r="H134" s="1">
        <v>272</v>
      </c>
      <c r="I134" s="1">
        <v>175</v>
      </c>
      <c r="J134" s="1">
        <v>364</v>
      </c>
      <c r="K134" s="1">
        <v>252</v>
      </c>
      <c r="V134" s="1">
        <v>487</v>
      </c>
      <c r="W134" s="1">
        <v>272</v>
      </c>
      <c r="X134" s="1">
        <v>175</v>
      </c>
      <c r="Y134" s="1">
        <v>364</v>
      </c>
      <c r="Z134" s="1">
        <v>252</v>
      </c>
    </row>
    <row r="135" spans="1:26" ht="15.6" x14ac:dyDescent="0.3">
      <c r="A135" s="1">
        <v>247</v>
      </c>
      <c r="B135" s="1">
        <v>138</v>
      </c>
      <c r="C135" s="1">
        <v>95</v>
      </c>
      <c r="D135" s="1">
        <v>477</v>
      </c>
      <c r="E135" s="1">
        <v>385</v>
      </c>
      <c r="G135" s="1">
        <v>247</v>
      </c>
      <c r="H135" s="1">
        <v>138</v>
      </c>
      <c r="I135" s="1">
        <v>95</v>
      </c>
      <c r="J135" s="1">
        <v>477</v>
      </c>
      <c r="K135" s="1">
        <v>385</v>
      </c>
      <c r="V135" s="1">
        <v>247</v>
      </c>
      <c r="W135" s="1">
        <v>138</v>
      </c>
      <c r="X135" s="1">
        <v>95</v>
      </c>
      <c r="Y135" s="1">
        <v>477</v>
      </c>
      <c r="Z135" s="1">
        <v>385</v>
      </c>
    </row>
    <row r="136" spans="1:26" ht="15.6" x14ac:dyDescent="0.3">
      <c r="A136" s="1">
        <v>443</v>
      </c>
      <c r="B136" s="1">
        <v>335</v>
      </c>
      <c r="C136" s="1">
        <v>230</v>
      </c>
      <c r="D136" s="1">
        <v>341</v>
      </c>
      <c r="E136" s="1">
        <v>141</v>
      </c>
      <c r="G136" s="1">
        <v>443</v>
      </c>
      <c r="H136" s="1">
        <v>335</v>
      </c>
      <c r="I136" s="1">
        <v>230</v>
      </c>
      <c r="J136" s="1">
        <v>341</v>
      </c>
      <c r="K136" s="1">
        <v>141</v>
      </c>
      <c r="V136" s="1">
        <v>443</v>
      </c>
      <c r="W136" s="1">
        <v>335</v>
      </c>
      <c r="X136" s="1">
        <v>230</v>
      </c>
      <c r="Y136" s="1">
        <v>341</v>
      </c>
      <c r="Z136" s="1">
        <v>141</v>
      </c>
    </row>
    <row r="137" spans="1:26" ht="15.6" x14ac:dyDescent="0.3">
      <c r="A137" s="1">
        <v>190</v>
      </c>
      <c r="B137" s="1">
        <v>313</v>
      </c>
      <c r="C137" s="1">
        <v>431</v>
      </c>
      <c r="D137" s="1">
        <v>144</v>
      </c>
      <c r="E137" s="1">
        <v>310</v>
      </c>
      <c r="G137" s="1">
        <v>190</v>
      </c>
      <c r="H137" s="1">
        <v>313</v>
      </c>
      <c r="I137" s="1">
        <v>431</v>
      </c>
      <c r="J137" s="1">
        <v>144</v>
      </c>
      <c r="K137" s="1">
        <v>310</v>
      </c>
      <c r="V137" s="1">
        <v>190</v>
      </c>
      <c r="W137" s="1">
        <v>313</v>
      </c>
      <c r="X137" s="1">
        <v>431</v>
      </c>
      <c r="Y137" s="1">
        <v>144</v>
      </c>
      <c r="Z137" s="1">
        <v>310</v>
      </c>
    </row>
    <row r="138" spans="1:26" ht="15.6" x14ac:dyDescent="0.3">
      <c r="A138" s="1">
        <v>362</v>
      </c>
      <c r="B138" s="1">
        <v>379</v>
      </c>
      <c r="C138" s="1">
        <v>1</v>
      </c>
      <c r="D138" s="1">
        <v>331</v>
      </c>
      <c r="E138" s="1">
        <v>370</v>
      </c>
      <c r="G138" s="1">
        <v>362</v>
      </c>
      <c r="H138" s="1">
        <v>379</v>
      </c>
      <c r="I138" s="1">
        <v>1</v>
      </c>
      <c r="J138" s="1">
        <v>331</v>
      </c>
      <c r="K138" s="1">
        <v>370</v>
      </c>
      <c r="V138" s="1">
        <v>362</v>
      </c>
      <c r="W138" s="1">
        <v>379</v>
      </c>
      <c r="X138" s="1">
        <v>1</v>
      </c>
      <c r="Y138" s="1">
        <v>331</v>
      </c>
      <c r="Z138" s="1">
        <v>370</v>
      </c>
    </row>
    <row r="139" spans="1:26" ht="15.6" x14ac:dyDescent="0.3">
      <c r="A139" s="1">
        <v>208</v>
      </c>
      <c r="B139" s="1">
        <v>277</v>
      </c>
      <c r="C139" s="1">
        <v>337</v>
      </c>
      <c r="D139" s="1">
        <v>137</v>
      </c>
      <c r="E139" s="1">
        <v>12</v>
      </c>
      <c r="G139" s="1">
        <v>208</v>
      </c>
      <c r="H139" s="1">
        <v>277</v>
      </c>
      <c r="I139" s="1">
        <v>337</v>
      </c>
      <c r="J139" s="1">
        <v>137</v>
      </c>
      <c r="K139" s="1">
        <v>12</v>
      </c>
      <c r="V139" s="1">
        <v>208</v>
      </c>
      <c r="W139" s="1">
        <v>277</v>
      </c>
      <c r="X139" s="1">
        <v>337</v>
      </c>
      <c r="Y139" s="1">
        <v>137</v>
      </c>
      <c r="Z139" s="1">
        <v>12</v>
      </c>
    </row>
    <row r="140" spans="1:26" ht="15.6" x14ac:dyDescent="0.3">
      <c r="A140" s="1">
        <v>80</v>
      </c>
      <c r="B140" s="1">
        <v>298</v>
      </c>
      <c r="C140" s="1">
        <v>320</v>
      </c>
      <c r="D140" s="1">
        <v>420</v>
      </c>
      <c r="E140" s="1">
        <v>262</v>
      </c>
      <c r="G140" s="1">
        <v>80</v>
      </c>
      <c r="H140" s="1">
        <v>298</v>
      </c>
      <c r="I140" s="1">
        <v>320</v>
      </c>
      <c r="J140" s="1">
        <v>420</v>
      </c>
      <c r="K140" s="1">
        <v>262</v>
      </c>
      <c r="V140" s="1">
        <v>80</v>
      </c>
      <c r="W140" s="1">
        <v>298</v>
      </c>
      <c r="X140" s="1">
        <v>320</v>
      </c>
      <c r="Y140" s="1">
        <v>420</v>
      </c>
      <c r="Z140" s="1">
        <v>262</v>
      </c>
    </row>
    <row r="141" spans="1:26" ht="15.6" x14ac:dyDescent="0.3">
      <c r="A141" s="1">
        <v>2</v>
      </c>
      <c r="B141" s="1">
        <v>287</v>
      </c>
      <c r="C141" s="1">
        <v>201</v>
      </c>
      <c r="D141" s="1">
        <v>110</v>
      </c>
      <c r="E141" s="1">
        <v>251</v>
      </c>
      <c r="G141" s="1">
        <v>2</v>
      </c>
      <c r="H141" s="1">
        <v>287</v>
      </c>
      <c r="I141" s="1">
        <v>201</v>
      </c>
      <c r="J141" s="1">
        <v>110</v>
      </c>
      <c r="K141" s="1">
        <v>251</v>
      </c>
      <c r="V141" s="1">
        <v>2</v>
      </c>
      <c r="W141" s="1">
        <v>287</v>
      </c>
      <c r="X141" s="1">
        <v>201</v>
      </c>
      <c r="Y141" s="1">
        <v>110</v>
      </c>
      <c r="Z141" s="1">
        <v>251</v>
      </c>
    </row>
    <row r="142" spans="1:26" ht="15.6" x14ac:dyDescent="0.3">
      <c r="A142" s="1">
        <v>130</v>
      </c>
      <c r="B142" s="1">
        <v>177</v>
      </c>
      <c r="C142" s="1">
        <v>437</v>
      </c>
      <c r="D142" s="1">
        <v>447</v>
      </c>
      <c r="E142" s="1">
        <v>372</v>
      </c>
      <c r="G142" s="1">
        <v>130</v>
      </c>
      <c r="H142" s="1">
        <v>177</v>
      </c>
      <c r="I142" s="1">
        <v>437</v>
      </c>
      <c r="J142" s="1">
        <v>447</v>
      </c>
      <c r="K142" s="1">
        <v>372</v>
      </c>
      <c r="V142" s="1">
        <v>130</v>
      </c>
      <c r="W142" s="1">
        <v>177</v>
      </c>
      <c r="X142" s="1">
        <v>437</v>
      </c>
      <c r="Y142" s="1">
        <v>447</v>
      </c>
      <c r="Z142" s="1">
        <v>372</v>
      </c>
    </row>
    <row r="143" spans="1:26" ht="15.6" x14ac:dyDescent="0.3">
      <c r="A143" s="1">
        <v>292</v>
      </c>
      <c r="B143" s="1">
        <v>459</v>
      </c>
      <c r="C143" s="1">
        <v>15</v>
      </c>
      <c r="D143" s="1">
        <v>218</v>
      </c>
      <c r="E143" s="1">
        <v>123</v>
      </c>
      <c r="G143" s="1">
        <v>292</v>
      </c>
      <c r="H143" s="1">
        <v>459</v>
      </c>
      <c r="I143" s="1">
        <v>15</v>
      </c>
      <c r="J143" s="1">
        <v>218</v>
      </c>
      <c r="K143" s="1">
        <v>123</v>
      </c>
      <c r="V143" s="1">
        <v>292</v>
      </c>
      <c r="W143" s="1">
        <v>459</v>
      </c>
      <c r="X143" s="1">
        <v>15</v>
      </c>
      <c r="Y143" s="1">
        <v>218</v>
      </c>
      <c r="Z143" s="1">
        <v>123</v>
      </c>
    </row>
    <row r="144" spans="1:26" ht="15.6" x14ac:dyDescent="0.3">
      <c r="A144" s="1">
        <v>294</v>
      </c>
      <c r="B144" s="1">
        <v>329</v>
      </c>
      <c r="C144" s="1">
        <v>46</v>
      </c>
      <c r="D144" s="1"/>
      <c r="E144" s="1">
        <v>321</v>
      </c>
      <c r="G144" s="1">
        <v>294</v>
      </c>
      <c r="H144" s="1">
        <v>329</v>
      </c>
      <c r="I144" s="1">
        <v>46</v>
      </c>
      <c r="J144" s="1"/>
      <c r="K144" s="1">
        <v>321</v>
      </c>
      <c r="V144" s="1">
        <v>294</v>
      </c>
      <c r="W144" s="1">
        <v>329</v>
      </c>
      <c r="X144" s="1">
        <v>46</v>
      </c>
      <c r="Y144" s="1"/>
      <c r="Z144" s="1">
        <v>321</v>
      </c>
    </row>
    <row r="145" spans="1:26" ht="15.6" x14ac:dyDescent="0.3">
      <c r="A145" s="1">
        <v>38</v>
      </c>
      <c r="B145" s="1">
        <v>291</v>
      </c>
      <c r="C145" s="1">
        <v>135</v>
      </c>
      <c r="D145" s="1"/>
      <c r="E145" s="1">
        <v>9</v>
      </c>
      <c r="G145" s="1">
        <v>38</v>
      </c>
      <c r="H145" s="1">
        <v>291</v>
      </c>
      <c r="I145" s="1">
        <v>135</v>
      </c>
      <c r="J145" s="1"/>
      <c r="K145" s="1">
        <v>9</v>
      </c>
      <c r="V145" s="1">
        <v>38</v>
      </c>
      <c r="W145" s="1">
        <v>291</v>
      </c>
      <c r="X145" s="1">
        <v>135</v>
      </c>
      <c r="Y145" s="1"/>
      <c r="Z145" s="1">
        <v>9</v>
      </c>
    </row>
    <row r="146" spans="1:26" ht="15.6" x14ac:dyDescent="0.3">
      <c r="A146" s="1">
        <v>17</v>
      </c>
      <c r="B146" s="1">
        <v>76</v>
      </c>
      <c r="C146" s="1">
        <v>417</v>
      </c>
      <c r="D146" s="1"/>
      <c r="E146" s="1">
        <v>450</v>
      </c>
      <c r="G146" s="1">
        <v>17</v>
      </c>
      <c r="H146" s="1">
        <v>76</v>
      </c>
      <c r="I146" s="1">
        <v>417</v>
      </c>
      <c r="J146" s="1"/>
      <c r="K146" s="1">
        <v>450</v>
      </c>
      <c r="V146" s="1">
        <v>17</v>
      </c>
      <c r="W146" s="1">
        <v>76</v>
      </c>
      <c r="X146" s="1">
        <v>417</v>
      </c>
      <c r="Y146" s="1"/>
      <c r="Z146" s="1">
        <v>450</v>
      </c>
    </row>
    <row r="147" spans="1:26" ht="15.6" x14ac:dyDescent="0.3">
      <c r="A147" s="1">
        <v>335</v>
      </c>
      <c r="B147" s="1">
        <v>106</v>
      </c>
      <c r="C147" s="1">
        <v>249</v>
      </c>
      <c r="D147" s="1"/>
      <c r="E147" s="1">
        <v>397</v>
      </c>
      <c r="G147" s="1">
        <v>335</v>
      </c>
      <c r="H147" s="1">
        <v>106</v>
      </c>
      <c r="I147" s="1">
        <v>249</v>
      </c>
      <c r="J147" s="1"/>
      <c r="K147" s="1">
        <v>397</v>
      </c>
      <c r="V147" s="1">
        <v>335</v>
      </c>
      <c r="W147" s="1">
        <v>106</v>
      </c>
      <c r="X147" s="1">
        <v>249</v>
      </c>
      <c r="Y147" s="1"/>
      <c r="Z147" s="1">
        <v>397</v>
      </c>
    </row>
    <row r="148" spans="1:26" ht="15.6" x14ac:dyDescent="0.3">
      <c r="A148" s="2"/>
      <c r="B148">
        <v>251</v>
      </c>
      <c r="C148">
        <v>157</v>
      </c>
      <c r="D148" s="2"/>
      <c r="E148">
        <v>379</v>
      </c>
    </row>
    <row r="149" spans="1:26" ht="15.6" x14ac:dyDescent="0.3">
      <c r="A149" s="1"/>
      <c r="B149">
        <v>298</v>
      </c>
      <c r="C149">
        <v>408</v>
      </c>
      <c r="D149" s="1"/>
      <c r="E149">
        <v>140</v>
      </c>
    </row>
    <row r="150" spans="1:26" ht="15.6" x14ac:dyDescent="0.3">
      <c r="A150" s="1"/>
      <c r="B150">
        <v>169</v>
      </c>
      <c r="C150">
        <v>84</v>
      </c>
      <c r="D150" s="1"/>
      <c r="E150">
        <v>439</v>
      </c>
    </row>
    <row r="151" spans="1:26" ht="15.6" x14ac:dyDescent="0.3">
      <c r="A151" s="1"/>
      <c r="B151">
        <v>259</v>
      </c>
      <c r="C151">
        <v>107</v>
      </c>
      <c r="D151" s="1"/>
      <c r="E151">
        <v>482</v>
      </c>
    </row>
    <row r="152" spans="1:26" ht="15.6" x14ac:dyDescent="0.3">
      <c r="A152" s="1"/>
      <c r="B152">
        <v>93</v>
      </c>
      <c r="C152">
        <v>101</v>
      </c>
      <c r="D152" s="1"/>
      <c r="E152">
        <v>178</v>
      </c>
    </row>
    <row r="153" spans="1:26" ht="15.6" x14ac:dyDescent="0.3">
      <c r="A153" s="1"/>
      <c r="B153">
        <v>209</v>
      </c>
      <c r="C153">
        <v>129</v>
      </c>
      <c r="D153" s="1"/>
      <c r="E153">
        <v>485</v>
      </c>
    </row>
    <row r="154" spans="1:26" ht="15.6" x14ac:dyDescent="0.3">
      <c r="A154" s="1"/>
      <c r="B154">
        <v>310</v>
      </c>
      <c r="C154">
        <v>343</v>
      </c>
      <c r="D154" s="1"/>
      <c r="E154">
        <v>31</v>
      </c>
    </row>
    <row r="155" spans="1:26" ht="15.6" x14ac:dyDescent="0.3">
      <c r="A155" s="1"/>
      <c r="B155">
        <v>269</v>
      </c>
      <c r="C155">
        <v>425</v>
      </c>
      <c r="D155" s="1"/>
      <c r="E155">
        <v>90</v>
      </c>
    </row>
    <row r="156" spans="1:26" ht="15.6" x14ac:dyDescent="0.3">
      <c r="A156" s="1"/>
      <c r="B156">
        <v>291</v>
      </c>
      <c r="C156">
        <v>374</v>
      </c>
      <c r="D156" s="1"/>
      <c r="E156">
        <v>488</v>
      </c>
    </row>
    <row r="157" spans="1:26" ht="15.6" x14ac:dyDescent="0.3">
      <c r="A157" s="1"/>
      <c r="B157">
        <v>414</v>
      </c>
      <c r="C157">
        <v>8</v>
      </c>
      <c r="D157" s="1"/>
      <c r="E157">
        <v>156</v>
      </c>
    </row>
    <row r="158" spans="1:26" ht="15.6" x14ac:dyDescent="0.3">
      <c r="A158" s="1"/>
      <c r="B158">
        <v>12</v>
      </c>
      <c r="C158">
        <v>346</v>
      </c>
      <c r="D158" s="1"/>
      <c r="E158">
        <v>498</v>
      </c>
    </row>
    <row r="159" spans="1:26" ht="15.6" x14ac:dyDescent="0.3">
      <c r="A159" s="1"/>
      <c r="B159">
        <v>302</v>
      </c>
      <c r="C159" s="1"/>
      <c r="D159" s="1"/>
      <c r="E159">
        <v>111</v>
      </c>
    </row>
    <row r="160" spans="1:26" ht="15.6" x14ac:dyDescent="0.3">
      <c r="A160" s="1"/>
      <c r="B160">
        <v>285</v>
      </c>
      <c r="C160" s="1"/>
      <c r="D160" s="1"/>
      <c r="E160">
        <v>203</v>
      </c>
    </row>
    <row r="161" spans="1:5" ht="15.6" x14ac:dyDescent="0.3">
      <c r="A161" s="1"/>
      <c r="B161">
        <v>183</v>
      </c>
      <c r="C161" s="1"/>
      <c r="D161" s="1"/>
      <c r="E161">
        <v>498</v>
      </c>
    </row>
    <row r="162" spans="1:5" ht="15.6" x14ac:dyDescent="0.3">
      <c r="A162" s="1"/>
      <c r="B162">
        <v>366</v>
      </c>
      <c r="C162" s="1"/>
      <c r="D162" s="1"/>
      <c r="E162">
        <v>170</v>
      </c>
    </row>
    <row r="163" spans="1:5" ht="15.6" x14ac:dyDescent="0.3">
      <c r="A163" s="1"/>
      <c r="B163" s="1"/>
      <c r="C163" s="1"/>
      <c r="D163" s="1"/>
      <c r="E163">
        <v>255</v>
      </c>
    </row>
    <row r="164" spans="1:5" ht="15.6" x14ac:dyDescent="0.3">
      <c r="A164" s="1"/>
      <c r="B164" s="1"/>
      <c r="C164" s="1"/>
      <c r="D164" s="1"/>
      <c r="E164">
        <v>238</v>
      </c>
    </row>
    <row r="165" spans="1:5" ht="15.6" x14ac:dyDescent="0.3">
      <c r="A165" s="1"/>
      <c r="B165" s="1"/>
      <c r="C165" s="1"/>
      <c r="D165" s="1"/>
      <c r="E165">
        <v>356</v>
      </c>
    </row>
    <row r="166" spans="1:5" ht="15.6" x14ac:dyDescent="0.3">
      <c r="A166" s="1"/>
      <c r="B166" s="1"/>
      <c r="C166" s="1"/>
      <c r="D166" s="1"/>
      <c r="E166">
        <v>17</v>
      </c>
    </row>
    <row r="167" spans="1:5" ht="15.6" x14ac:dyDescent="0.3">
      <c r="A167" s="1"/>
      <c r="B167" s="1"/>
      <c r="C167" s="1"/>
      <c r="D167" s="1"/>
      <c r="E167">
        <v>59</v>
      </c>
    </row>
  </sheetData>
  <conditionalFormatting sqref="G4:G147">
    <cfRule type="cellIs" dxfId="30" priority="10" operator="greaterThan">
      <formula>735</formula>
    </cfRule>
  </conditionalFormatting>
  <conditionalFormatting sqref="H4:H147">
    <cfRule type="cellIs" dxfId="29" priority="9" operator="greaterThan">
      <formula>652</formula>
    </cfRule>
  </conditionalFormatting>
  <conditionalFormatting sqref="I4:I147">
    <cfRule type="cellIs" dxfId="28" priority="8" operator="greaterThan">
      <formula>721</formula>
    </cfRule>
  </conditionalFormatting>
  <conditionalFormatting sqref="J4:J143">
    <cfRule type="cellIs" dxfId="27" priority="7" operator="greaterThan">
      <formula>760</formula>
    </cfRule>
  </conditionalFormatting>
  <conditionalFormatting sqref="K4:K147">
    <cfRule type="cellIs" dxfId="26" priority="6" operator="greaterThan">
      <formula>737</formula>
    </cfRule>
  </conditionalFormatting>
  <conditionalFormatting sqref="V4:V147">
    <cfRule type="cellIs" dxfId="25" priority="5" operator="greaterThan">
      <formula>735</formula>
    </cfRule>
  </conditionalFormatting>
  <conditionalFormatting sqref="W4:W147">
    <cfRule type="cellIs" dxfId="24" priority="4" operator="greaterThan">
      <formula>652</formula>
    </cfRule>
  </conditionalFormatting>
  <conditionalFormatting sqref="X4:X147">
    <cfRule type="cellIs" dxfId="23" priority="3" operator="greaterThan">
      <formula>721</formula>
    </cfRule>
  </conditionalFormatting>
  <conditionalFormatting sqref="Y4:Y143">
    <cfRule type="cellIs" dxfId="22" priority="2" operator="greaterThan">
      <formula>760</formula>
    </cfRule>
  </conditionalFormatting>
  <conditionalFormatting sqref="Z4:Z147">
    <cfRule type="cellIs" dxfId="21" priority="1" operator="greaterThan">
      <formula>737</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9F35-55D4-441E-8956-A5C9BC9B1338}">
  <dimension ref="A3:A4"/>
  <sheetViews>
    <sheetView workbookViewId="0">
      <selection activeCell="A4" sqref="A4"/>
    </sheetView>
  </sheetViews>
  <sheetFormatPr defaultRowHeight="14.4" x14ac:dyDescent="0.3"/>
  <cols>
    <col min="1" max="1" width="32" bestFit="1" customWidth="1"/>
  </cols>
  <sheetData>
    <row r="3" spans="1:1" x14ac:dyDescent="0.3">
      <c r="A3" t="s">
        <v>828</v>
      </c>
    </row>
    <row r="4" spans="1:1" ht="15.6" x14ac:dyDescent="0.3">
      <c r="A4" s="3">
        <v>309.87664041994753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647C9-E294-4833-AAE7-33391EF4F4CF}">
  <dimension ref="A3:A4"/>
  <sheetViews>
    <sheetView workbookViewId="0">
      <selection activeCell="A4" sqref="A4"/>
    </sheetView>
  </sheetViews>
  <sheetFormatPr defaultRowHeight="14.4" x14ac:dyDescent="0.3"/>
  <cols>
    <col min="1" max="1" width="26.21875" bestFit="1" customWidth="1"/>
  </cols>
  <sheetData>
    <row r="3" spans="1:1" x14ac:dyDescent="0.3">
      <c r="A3" t="s">
        <v>829</v>
      </c>
    </row>
    <row r="4" spans="1:1" ht="15.6" x14ac:dyDescent="0.3">
      <c r="A4" s="3">
        <v>193255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63F6E-BEBD-47C6-AD11-E7F1B7BD561B}">
  <dimension ref="A3:A4"/>
  <sheetViews>
    <sheetView workbookViewId="0">
      <selection activeCell="A4" sqref="A4"/>
    </sheetView>
  </sheetViews>
  <sheetFormatPr defaultRowHeight="14.4" x14ac:dyDescent="0.3"/>
  <cols>
    <col min="1" max="1" width="37.88671875" bestFit="1" customWidth="1"/>
  </cols>
  <sheetData>
    <row r="3" spans="1:1" x14ac:dyDescent="0.3">
      <c r="A3" t="s">
        <v>830</v>
      </c>
    </row>
    <row r="4" spans="1:1" ht="15.6" x14ac:dyDescent="0.3">
      <c r="A4" s="3">
        <v>50.550472440944901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849D-4149-46DB-B7A1-00DD777314F3}">
  <dimension ref="A3:A4"/>
  <sheetViews>
    <sheetView workbookViewId="0">
      <selection activeCell="A4" sqref="A4"/>
    </sheetView>
  </sheetViews>
  <sheetFormatPr defaultRowHeight="14.4" x14ac:dyDescent="0.3"/>
  <cols>
    <col min="1" max="1" width="27.77734375" bestFit="1" customWidth="1"/>
  </cols>
  <sheetData>
    <row r="3" spans="1:1" x14ac:dyDescent="0.3">
      <c r="A3" t="s">
        <v>808</v>
      </c>
    </row>
    <row r="4" spans="1:1" ht="15.6" x14ac:dyDescent="0.3">
      <c r="A4" s="3">
        <v>42.444448818897612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2732F-2AFD-495F-844E-9AE253B1D4D6}">
  <dimension ref="G6:U6"/>
  <sheetViews>
    <sheetView showGridLines="0" tabSelected="1" zoomScale="79" zoomScaleNormal="79" workbookViewId="0">
      <selection activeCell="AA4" sqref="AA4"/>
    </sheetView>
  </sheetViews>
  <sheetFormatPr defaultRowHeight="14.4" x14ac:dyDescent="0.3"/>
  <cols>
    <col min="7" max="7" width="8.33203125" customWidth="1"/>
  </cols>
  <sheetData>
    <row r="6" spans="7:21" ht="18" x14ac:dyDescent="0.35">
      <c r="G6" s="4">
        <f>GETPIVOTDATA("Minutes Streamed Per Day",'KPI 1'!$A$3)</f>
        <v>309.87664041994753</v>
      </c>
      <c r="H6" s="3"/>
      <c r="I6" s="3"/>
      <c r="J6" s="5">
        <f>GETPIVOTDATA("Number of Songs Liked",'KPI 2'!$A$3)</f>
        <v>193255</v>
      </c>
      <c r="K6" s="3"/>
      <c r="L6" s="3"/>
      <c r="M6" s="6">
        <f>GETPIVOTDATA("Discover Weekly Engagement (%)",'KPI 3'!$A$3)</f>
        <v>50.550472440944901</v>
      </c>
      <c r="N6" s="3"/>
      <c r="O6" s="3"/>
      <c r="P6" s="3"/>
      <c r="Q6" s="7">
        <f>GETPIVOTDATA("Repeat Song Rate (%)",'KPI 4'!$A$3)</f>
        <v>42.444448818897612</v>
      </c>
      <c r="R6" s="3"/>
      <c r="U6" s="9">
        <f>Q.3!I3</f>
        <v>-6.4315020571301729E-2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CLEANED DATA</vt:lpstr>
      <vt:lpstr>TECHNICAL QUES 1</vt:lpstr>
      <vt:lpstr>TECHNICAL QUES 2</vt:lpstr>
      <vt:lpstr>Q.1</vt:lpstr>
      <vt:lpstr>Q.2</vt:lpstr>
      <vt:lpstr>Q.3</vt:lpstr>
      <vt:lpstr>Q.4</vt:lpstr>
      <vt:lpstr>HANDLE OUTLIERS</vt:lpstr>
      <vt:lpstr>KPI 1</vt:lpstr>
      <vt:lpstr>KPI 2</vt:lpstr>
      <vt:lpstr>KPI 3</vt:lpstr>
      <vt:lpstr>KPI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Manali Mhatre</dc:creator>
  <cp:lastModifiedBy>Manali Mhatre</cp:lastModifiedBy>
  <dcterms:created xsi:type="dcterms:W3CDTF">2026-08-16T09:27:32Z</dcterms:created>
  <dcterms:modified xsi:type="dcterms:W3CDTF">2026-09-04T13:13:50Z</dcterms:modified>
</cp:coreProperties>
</file>